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esson/Library/CloudStorage/Dropbox-ESquaredConsulting/Meghan Esson/Teaching -- Iowa/Life Health/Spring 2026/Practice Exams/data/Module 2/"/>
    </mc:Choice>
  </mc:AlternateContent>
  <xr:revisionPtr revIDLastSave="0" documentId="13_ncr:1_{827D9302-7EB7-5942-82EB-FAF45A7B9044}" xr6:coauthVersionLast="47" xr6:coauthVersionMax="47" xr10:uidLastSave="{00000000-0000-0000-0000-000000000000}"/>
  <bookViews>
    <workbookView xWindow="0" yWindow="660" windowWidth="29400" windowHeight="16820" xr2:uid="{00000000-000D-0000-FFFF-FFFF00000000}"/>
  </bookViews>
  <sheets>
    <sheet name="Sheet1" sheetId="1" r:id="rId1"/>
    <sheet name="Slide Notes 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 l="1"/>
  <c r="K21" i="1"/>
  <c r="K3" i="1"/>
  <c r="K4" i="1" s="1"/>
  <c r="K5" i="1" s="1"/>
  <c r="K6" i="1" s="1"/>
  <c r="K7" i="1" s="1"/>
  <c r="K8" i="1" s="1"/>
  <c r="K9" i="1" s="1"/>
  <c r="K10" i="1" s="1"/>
  <c r="K11" i="1" s="1"/>
  <c r="K12" i="1" s="1"/>
  <c r="K13" i="1" s="1"/>
  <c r="K14" i="1" s="1"/>
  <c r="K15" i="1" s="1"/>
  <c r="K16" i="1" s="1"/>
  <c r="K17" i="1" s="1"/>
  <c r="K18" i="1" s="1"/>
  <c r="K19" i="1" s="1"/>
  <c r="K20" i="1" s="1"/>
  <c r="K22" i="1" s="1"/>
  <c r="K23"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alcChain>
</file>

<file path=xl/sharedStrings.xml><?xml version="1.0" encoding="utf-8"?>
<sst xmlns="http://schemas.openxmlformats.org/spreadsheetml/2006/main" count="603" uniqueCount="337">
  <si>
    <t>Topic</t>
  </si>
  <si>
    <t>Text</t>
  </si>
  <si>
    <t>a</t>
  </si>
  <si>
    <t>b</t>
  </si>
  <si>
    <t>c</t>
  </si>
  <si>
    <t>d</t>
  </si>
  <si>
    <t>extras</t>
  </si>
  <si>
    <t>correct</t>
  </si>
  <si>
    <t>idea_id</t>
  </si>
  <si>
    <t>block_id</t>
  </si>
  <si>
    <t>q_id</t>
  </si>
  <si>
    <t>b_info</t>
  </si>
  <si>
    <t>y</t>
  </si>
  <si>
    <t>abcd</t>
  </si>
  <si>
    <t>n</t>
  </si>
  <si>
    <t>bc</t>
  </si>
  <si>
    <t>abd</t>
  </si>
  <si>
    <t>Under the baseline conditions of the game (Medicare reimburses above cost, no EMTALA, high administrative networking costs), why should hospitals never negotiate a rate below cost with private insurers?</t>
  </si>
  <si>
    <t>Federal regulations prohibit hospitals from accepting below-cost contracts</t>
  </si>
  <si>
    <t>The next-best alternative available to hospitals reimburses exactly at cost, so there is no incentive to accept less</t>
  </si>
  <si>
    <t>Hospital boards are legally required to maximize profit at all times</t>
  </si>
  <si>
    <t>Accepting below-cost rates automatically triggers a government audit</t>
  </si>
  <si>
    <t>Which of the following is the correct formal definition of cost-shifting as discussed in the lecture?</t>
  </si>
  <si>
    <t>When insurance companies charge higher premiums to riskier individuals to recoup losses from low-risk enrollees</t>
  </si>
  <si>
    <t>When healthcare providers charge private payers more in response to shortfalls in public insurance payments or payments by the uninsured</t>
  </si>
  <si>
    <t>When hospitals transfer patients who cannot pay to other facilities</t>
  </si>
  <si>
    <t>When the government subsidizes private insurance premiums to offset public insurance underpayments</t>
  </si>
  <si>
    <t>Accept below-cost contracts from private insurers to maintain patient volume</t>
  </si>
  <si>
    <t>Increase negotiated rates with private insurers to offset Medicare losses</t>
  </si>
  <si>
    <t>Refuse to accept any offers from private insurers below cost</t>
  </si>
  <si>
    <t>Reduce the number of Medicare patients treated to limit losses</t>
  </si>
  <si>
    <t>Why did private insurance premiums increase following the drop in Medicare reimbursement rates?</t>
  </si>
  <si>
    <t>The federal government mandated that private insurers directly subsidize the Medicare shortfall</t>
  </si>
  <si>
    <t>Hospitals cost-shifted by raising negotiated rates with private insurers to offset Medicare losses, and insurers passed these higher costs on through premium increases</t>
  </si>
  <si>
    <t>Consumers demanded more comprehensive coverage once Medicare began underpaying hospitals</t>
  </si>
  <si>
    <t>Private insurers reduced their networks, creating a less competitive market with higher prices</t>
  </si>
  <si>
    <t>Why would insurers accept higher hospital costs resulting from cost-shifting rather than simply dropping those hospitals from their network?</t>
  </si>
  <si>
    <t>Regulations require insurers to maintain the same hospital networks regardless of cost</t>
  </si>
  <si>
    <t>Insurers want consumers to purchase their insurance, which requires offering attractive hospital networks</t>
  </si>
  <si>
    <t>The government subsidizes the additional costs through the DSH program</t>
  </si>
  <si>
    <t>Insurers can always pass all cost increases to consumers without losing any enrollees</t>
  </si>
  <si>
    <t>Cost-shifting, unlike an adverse selection spiral, does not inherently cause a self-perpetuating cycle of premium increases. Why?</t>
  </si>
  <si>
    <t>Government intervention caps premium increases once a threshold is reached</t>
  </si>
  <si>
    <t>If costs stop increasing, premiums also stop increasing — there is no internal feedback loop from low risks exiting as in adverse selection</t>
  </si>
  <si>
    <t>Insurers can always find new low-risk individuals to replace those who drop coverage</t>
  </si>
  <si>
    <t>Cost-shifting actually lowers premiums over time by reducing unnecessary hospital spending</t>
  </si>
  <si>
    <t>In an adverse selection spiral, premiums rise because low risks exit to avoid cross-subsidizing high risks; in cost-shifting, costs increase for all risk types</t>
  </si>
  <si>
    <t>Cost-shifting is driven by changes in hospital costs; adverse selection is driven by the composition of who chooses to be insured</t>
  </si>
  <si>
    <t>Both cost-shifting and adverse selection spirals are caused by moral hazard among insured consumers</t>
  </si>
  <si>
    <t>If cost increases stabilize, cost-shifting-driven premium increases stop; adverse selection spirals have an inherent self-reinforcing dynamic</t>
  </si>
  <si>
    <t>In what year was the Emergency Medical Treatment and Labor Act (EMTALA) passed?</t>
  </si>
  <si>
    <t>1981</t>
  </si>
  <si>
    <t>1986</t>
  </si>
  <si>
    <t>1989</t>
  </si>
  <si>
    <t>1994</t>
  </si>
  <si>
    <t>Which of the following best describes what EMTALA requires of hospitals?</t>
  </si>
  <si>
    <t>Hospitals must accept all patients regardless of their ability to pay for any type of medical care</t>
  </si>
  <si>
    <t>Hospitals cannot deny a patient emergency care based on insurance status</t>
  </si>
  <si>
    <t>All hospitals must provide free care to all patients below the federal poverty line</t>
  </si>
  <si>
    <t>Hospitals must publicly disclose their charity care policies and eligibility criteria</t>
  </si>
  <si>
    <t>As discussed in the lecture, what role does bankruptcy play in the context of healthcare for uninsured patients?</t>
  </si>
  <si>
    <t>It prevents hospitals from billing uninsured patients at all</t>
  </si>
  <si>
    <t>It serves as a form of implicit health insurance because medical debt can be discharged</t>
  </si>
  <si>
    <t>It triggers automatic government reimbursement for unpaid hospital bills</t>
  </si>
  <si>
    <t>It allows hospitals to transfer unpaid debt to government programs</t>
  </si>
  <si>
    <t>After EMTALA is introduced, what is the expected effect on overall hospital profitability?</t>
  </si>
  <si>
    <t>Hospitals make more money because emergency visits increase total patient volume</t>
  </si>
  <si>
    <t>Hospitals break even because the government fully reimburses for all uncompensated care under EMTALA</t>
  </si>
  <si>
    <t>Hospitals lose money on uninsured patients overall</t>
  </si>
  <si>
    <t>Hospital profits are unaffected because private insurers compensate for EMTALA-related losses</t>
  </si>
  <si>
    <t>Which of the following correctly defines charity hazard?</t>
  </si>
  <si>
    <t>The risk that a hospital will face insolvency due to providing excessive amounts of free care</t>
  </si>
  <si>
    <t>The tendency of individuals not to procure insurance or take other precautions because they expect to receive charity care from others</t>
  </si>
  <si>
    <t>The moral hazard created when insurers are required to cover charity care patients at below-market rates</t>
  </si>
  <si>
    <t>The risk that charity care laws will crowd out private insurance markets through adverse selection</t>
  </si>
  <si>
    <t>According to the lecture, what is the primary economic effect of charity hazard on potential insurance consumers?</t>
  </si>
  <si>
    <t>It increases the willingness to pay for health insurance by reducing out-of-pocket risk</t>
  </si>
  <si>
    <t>It reduces individual willingness to pay for health insurance</t>
  </si>
  <si>
    <t>It has no effect on willingness to pay but increases moral hazard among the insured</t>
  </si>
  <si>
    <t>It increases demand for comprehensive insurance plans while reducing demand for catastrophic plans</t>
  </si>
  <si>
    <t>Offer free or nearly free care to low-income uninsured or underinsured individuals</t>
  </si>
  <si>
    <t>Offer payment plans to patients who cannot pay in full</t>
  </si>
  <si>
    <t>Conduct a community needs assessment every three years</t>
  </si>
  <si>
    <t>Make reasonable efforts to collect debt before sending accounts to collections</t>
  </si>
  <si>
    <t>After the ACA, what additional charity care obligation applied to all non-profit hospitals?</t>
  </si>
  <si>
    <t>They were required to offer and publicly disclose their charity care policies</t>
  </si>
  <si>
    <t>They were required to participate in Medicaid managed care programs</t>
  </si>
  <si>
    <t>They were required to submit charity care spending data to the IRS annually</t>
  </si>
  <si>
    <t>When charity hazard is present, why does cream-skimming become more difficult for insurers?</t>
  </si>
  <si>
    <t>Regulators specifically restrict insurer marketing to low-risk individuals when charity care is available</t>
  </si>
  <si>
    <t>The best risks (lowest expected cost) also have the lowest willingness to pay for insurance, making them harder to attract and retain</t>
  </si>
  <si>
    <t>Government programs now directly cover the lowest-risk individuals, removing them from the private market</t>
  </si>
  <si>
    <t>Hospitals charge more to low-risk patients under charity care rules, reducing the insurer's cost advantage from cream-skimming</t>
  </si>
  <si>
    <t>Premiums cannot be increased as much as before due to the decline in WTP</t>
  </si>
  <si>
    <t>Some consumers will remain uninsured even if the insurer lowers premiums</t>
  </si>
  <si>
    <t>Insurer profits increase as fewer people demand coverage, reducing claims</t>
  </si>
  <si>
    <t>Cream-skimming becomes harder because the best risks are precisely those with the lowest WTP</t>
  </si>
  <si>
    <t>Middle-aged high-income individuals</t>
  </si>
  <si>
    <t>Low-income individuals who are eligible for charity care</t>
  </si>
  <si>
    <t>Young individuals who have lower expected healthcare costs</t>
  </si>
  <si>
    <t>Elderly individuals with high expected healthcare utilization</t>
  </si>
  <si>
    <t>Which of the following best describes how Disproportionate Share Hospital (DSH) payments are structured?</t>
  </si>
  <si>
    <t>All hospitals receive equal DSH payments regardless of the income composition of their patient population</t>
  </si>
  <si>
    <t>Hospitals that treat a larger share of low-income patients receive more DSH funding from the government</t>
  </si>
  <si>
    <t>DSH payments are only available to publicly owned hospitals</t>
  </si>
  <si>
    <t>DSH payments fully offset all uncompensated care costs for eligible hospitals</t>
  </si>
  <si>
    <t>The lecture describes Iowa as a 'low DSH state.' What does this mean in practice?</t>
  </si>
  <si>
    <t>Iowa hospitals treat fewer low-income patients than the national average</t>
  </si>
  <si>
    <t>Iowa receives far less in federal DSH aid relative to other states</t>
  </si>
  <si>
    <t>Iowa prohibits hospitals from applying for DSH payments</t>
  </si>
  <si>
    <t>Iowa's DSH payments are entirely state-funded with no federal contribution</t>
  </si>
  <si>
    <t>DSH payments were originally created primarily in order to:</t>
  </si>
  <si>
    <t>Fund hospital construction and renovation in underserved communities</t>
  </si>
  <si>
    <t>Compensate hospitals for losses resulting from disproportionate exposure to Medicare and Medicaid underpayments and uncompensated care</t>
  </si>
  <si>
    <t>Finance medical education programs at teaching hospitals</t>
  </si>
  <si>
    <t>Offset the administrative costs of EMTALA compliance for safety-net hospitals</t>
  </si>
  <si>
    <t>When DSH payments are introduced in the game, what is the optimal strategy for insurers?</t>
  </si>
  <si>
    <t>Immediately raise premiums to offset new competitive pressure from subsidized hospitals</t>
  </si>
  <si>
    <t>Attempt to get hospitals to cost-shift less, while continuing to target lower-risk consumers through cream-skimming</t>
  </si>
  <si>
    <t>Exit low-income markets entirely since DSH-eligible hospitals serve riskier populations</t>
  </si>
  <si>
    <t>Form networks exclusively with DSH-eligible hospitals to benefit from their lower operating costs</t>
  </si>
  <si>
    <t>From an insurer's perspective, if hospitals engage in cream-skimming (selecting lower-cost patients despite EMTALA), what would be the likely effect on the insurer?</t>
  </si>
  <si>
    <t>Insurer costs would increase because healthier patients use more preventive services</t>
  </si>
  <si>
    <t>Insurer costs could decrease because hospitals treating lower-cost patients would have lower costs and therefore engage in less cost-shifting</t>
  </si>
  <si>
    <t>Insurer costs would be unaffected since EMTALA legally prevents cream-skimming</t>
  </si>
  <si>
    <t>Insurer premiums would increase because healthy patients tend to be less price-sensitive</t>
  </si>
  <si>
    <t>slide_no</t>
  </si>
  <si>
    <t>slide_title</t>
  </si>
  <si>
    <t>note_text</t>
  </si>
  <si>
    <t>status</t>
  </si>
  <si>
    <t>Topic 4: | Healthcare Systems Overview</t>
  </si>
  <si>
    <t>Now that we have the information about insurance economics more broadly and some facts about life/health insurance, let’s dive into health insurance. And to do that we need an overview of healthcare systems in the US. 1</t>
  </si>
  <si>
    <t>Usable</t>
  </si>
  <si>
    <t>Healthcare Systems: Overview | Healthcare Systems | : The organizational and institutional structures through which an economy makes choices regarding the production, consumption, and distribution of healthcare services.</t>
  </si>
  <si>
    <t>Let’s start by defining healthcare systems Read the definition. *New bullet* So all healthcare systems have these three components *New bullet* Patients, healthcare providers, and third party payers. *New bullet* Let’s look at how these interact together before we go through and focus on third party payers. I’m going to look first at the US and then apply this to other countries *Next slide* ______________________________________________________________________________________________________________ Third party payers can be a gateway through that distribution system. 2</t>
  </si>
  <si>
    <t>Three-Party System: | Let’s talk about the incentives of each party. | Purchaser:</t>
  </si>
  <si>
    <t>So we know more about the issues with the three party system in the U.S., but I want to be a bit more specific about the incentives of each. *New bullet* Let’s start with the purchaser. What are the incentives of the purchaser? Wait for student engagement -- *New bullet* To use a lot of healthcare!! *New bullet* he purchaser wants more healthcare up to a certain point. *New bullet* Why is there a limit? *New bullet* Even if healthcare was completely free, you wouldn’t go to the doctor every single day because there are other costs besides monetary. Like your time. *New bullet* We abstracted from this with our utility function. The game will add this back in when thinking about networks and distance. *New bullet* Now let’s talk about the provider.*New bullet* The provider wants to provide as much healthcare as possible. *New bullet* There are two reasons for this.*New bullet* This is their business. That’s how they make money. *New bullet* 2. Defensive medicine. *New bullet* They want to avoid lawsuits. Very rarely is someone sued for unnecessary care. But if you don’t do something that is necessary you are almost surely going to get sued. *Next slide* 3</t>
  </si>
  <si>
    <t>Three-Party System: | Let’s talk about the incentives of each party. | Payer:</t>
  </si>
  <si>
    <t>Finally, let’s talk about the payer. *New bullet* The payer wants to provide as little care as possible *New bullet* We can bring back this oldie but a goodie cartoon about how insurance works. *New bullet* But I do want to say that providing as little care as possible is up to a limit though. What is this limit? Why don’t health insurers just reject every claim? Wait for students – *New bullet* Answer is that this is their business. If you never actually provide a service they’ll take their business elsewhere. Now let’s look at this more formally. *Next slide* 4</t>
  </si>
  <si>
    <t>Patients (i.e., consumers) | Healthcare providers (e.g., hospitals, pharmacies, etc.) | Insurers or Third- Party Payers</t>
  </si>
  <si>
    <t>So we have patients (who are consumers) *New bullet* Who want to get healthcare So we have to think of how they are going to afford healthcare. *New bullet* They are going to need health insurance. So how do we get health insurance. *New bullet* Through a sponsor. Now you can generally think of the sponsor as an employer or the government. *New bullet* So what will happen is that consumers get insurance through their employer through lower wages or get it through the government which they pay for through taxes. Third-party payers include insurance companies, governmental payers, like Medicare (TRICARE, VA), and even employers (self-insured plans) . * New bullet* Now people don’t do that for free. Like they don’t just have lower wages. Or give taxes. They expect something in return. And what they get is that the employer or government will pay premiums to a third party payer/insurer. Now this can be beneficial because having a larger group can mean you get better rates or have a more extensive network when you get insurance through a sponsor. *New bullet* But consumers can also directly access insurers through an individual market where they go directly to the insurers and pay premiums. *New bullet* Now the entire purpose of this was that consumers wanted to be able to access medical services from healthcare providers. *New bullet* Now consumers will make some of the payments to healthcare providers out of pocket. *New bullet* Now the rest of the payment will be sent as a claim to the insurance company. *New bullet* And after the adjudication process the insurer will make fixed or variable payments depending. If these are not enough to make up the cost, the healthcare provider will try and get the rest if possible. *New bullet* So these all fall under the umbrella of financing over here, production and reimbursement. *New bullet* So these three elements are common to all healthcare systems. *New bullet* Okay so I’m going to talk just for like two minutes about the production of healthcare *New bullet* And then talk more about financing and then move to reimbursement once we talk more about private health insurance. *Next slide* HERE TALK ABOUT HOW NHS IN UK COMBINES ALL THREE OF SPONSOR INSURER AND HEALTHCARE PROVIDER, TALK ABOUT HOW CANADA HAS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5</t>
  </si>
  <si>
    <t>Partial / instructor placeholders</t>
  </si>
  <si>
    <t>Other Country Examples: | National Health Service (UK System) | Canadian System (i.e., single payer)</t>
  </si>
  <si>
    <t>VA all elements combined, -- like NHS Medicare top 2 combined -- like Canadian system UK all three combined, Canada top 2 combined -- mostly. Can still opt to have private insurance if want but everyone is eligible for the single payer system. POINT OUT THAT US SYSTEM ENCOMPASSES LOTS OF OTHER SYSTEMS IN IT. JUST EMBEDDED INSIDE. IF YOU HAVE MEDICARE, YOU ARE THE CANADIAN SYSTEM. IF YOU HAVE COVERAGE THROUGH VA THEN YOU HAVE THE UK SYSTEM. IF YOU HAVE PRIVATE INSURANCE, CLOSER TO THE GERMAN MODEL. IF YOU ARE UNINSURED, PICK YOUR FAVORITE DEVELOPING COUNTRY WHERE JUST PAY FOR ACCESS AND THAT’S WHAT YOU HAVE. 6</t>
  </si>
  <si>
    <t>Healthcare System: Issues with this Three-Party Setup | Not necessarily unique to healthcare, but this setup has lots of opportunity for asymmetric information. | Asymmetric information:</t>
  </si>
  <si>
    <t>8</t>
  </si>
  <si>
    <t>Sparse</t>
  </si>
  <si>
    <t>Another asymmetric info problem (MH) unique to three-party system: | Principal-Agent problem | A problem caused by agents pursuing their own interests rather than the interests of the principals who hired them.</t>
  </si>
  <si>
    <t>Okay, so this is the three party syste . *New bullet* so let’s look at where these problems show up. *New bullet* What’s here? *New bullet* Moral hazard. The insurer is paying for these claims. This means that people are going to use more healthcare when they aren’t the ones paying for it. *New bullet* What about here? *New bullet* Again, moral hazard but here specifically the principal agent problem. Insurers have to delegate decision making to the healthcare providers. Healthcare providers know more about the treatment than either the consumer or insurer. *New bullet* What about here? *New bullet* Adverse selection can come in here. Sicker people will demand more healthcare. *New bullet* It will be more likely on this individual market because people are choosing. But still possible above because sicker employees are more likely to select jobs that offer more generous insurance. Or when they purchase insurance through their employer it’s because they know more about their healthiness than the insurer. Can use example of dental insurance this past year. *Next slide*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9</t>
  </si>
  <si>
    <t>Okay. *New bullet* So let’s start by talking a bit about the production of healthcare *New bullet* And then move to the financing of healthcare.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10</t>
  </si>
  <si>
    <t>11</t>
  </si>
  <si>
    <t>Healthcare System: Issues with Production | What are some issues with the production of healthcare? | Medical illnesses occur irregularly and unexpectedly.</t>
  </si>
  <si>
    <t>Okay. *New bullet* So let’s start by talking a bit about the production of healthcare *New bullet* And then move to the financing of healthcare.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12</t>
  </si>
  <si>
    <t>So the US spent $4 trillion on healthcare in 2021. Okay so looking at how much is spent on healthcare about half is spent on hospital care and physician services (Which is why we focused on hospitals in the game). *Next slide* 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13</t>
  </si>
  <si>
    <t>Financing: How Much Is Spent? | Let’s switch and talk about the financing aspect of the three-party system. | U.S. spent $4 trillion on healthcare in 2021</t>
  </si>
  <si>
    <t>So this is looking at who pays for healthcare. And let’s break this down. *New bullet* Medicare and Medicaid fund most of the healthcare spending at 38.4%. *New bullet* This is why how much they actually reimburse is so important. It will determine how much healthcare providers get paid which has a trickle down effect on insurers, which we saw in the game. But there will also be instances where private insurers just follow Medicare’s lead for rules about reimbursement. They don’t tend to divert too much. *New bullet*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14</t>
  </si>
  <si>
    <t>Financing: Who Pays the Bill? | 1. Medicare and Medicaid – 38.4% | How Medicare/Medicaid reimburse will be important for</t>
  </si>
  <si>
    <t>The second most is private health insurance at 28.5%. *New bullet*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15</t>
  </si>
  <si>
    <t>Financing: Who Pays the Bill? | 2. Private health insurance – 28.5%</t>
  </si>
  <si>
    <t>Third most is just out-of-pocket payments and consumers covered about 10% of the $4 trillion in healthcare spending in the US. *New bullet* We know from the game that payment doesn’t equate to insurance coverage. People can have insurance and not use it (or vice versa). Let’s look at that just a little bit. *Next slide*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https://datatools.ahrq.gov/topic-areas/?id=healthcare-cost – Clicked on the MEPS Use, Expenditures, and Population table to get this information about who actually has an expense. And then broken down by who actually gets coverage. 16</t>
  </si>
  <si>
    <t>Financing: Who Pays the Bill? | 3. Consumers OOP – 10.2% | Payment doesn’t equate to insurance coverage.</t>
  </si>
  <si>
    <t>This figure is showing the percent of the population with an expense by insurance coverage from 1996 to 2021. This comes from the Medical Expenditure Panel Survey. Here we have the privately insured population in blue, the publicly insured in beige (I didn’t set the colors), and the uninsured in grey. *New bullet* What we can see here is that consistently 90% of the privately insured population has a medical expenditure within a year. But, that means consistently 10% do not have any. *Next *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https://datatools.ahrq.gov/topic-areas/?id=healthcare-cost – Clicked on the MEPS Use, Expenditures, and Population table to get this information about who actually has an expense. And then broken down by who actually gets coverage. 17</t>
  </si>
  <si>
    <t>Financing: Who Pays the Bill? | 10% of the privately insured population has no medical expenditures within a year. | Source: Medical Expenditure Panel Survey</t>
  </si>
  <si>
    <t>Publicly insured is really similar. To privately insured in that only about 10% of the population doesn’t have any medical expenditures within a year. *New bullet* As opposed to the uninsured *New bullet* Where close to half could have no medical expenditures within a year. *Next slide* Uninsured not having as much expense is an example of what? Well could be both moral hazard and adverse selection. Really difficult to tell. There are some people down here who probably needed the care but don't get it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https://datatools.ahrq.gov/topic-areas/?id=healthcare-cost – Clicked on the MEPS Use, Expenditures, and Population table to get this information about who actually has an expense. And then broken down by who actually gets coverage. 18</t>
  </si>
  <si>
    <t>Financing: Who Pays the Bill? | 38-50% uninsured population has no medical expenditures within a year. | 10% of the publicly insured population has no medical expenditures within a year.</t>
  </si>
  <si>
    <t>For right now, I really want to focus on the uninsured. *New bullet* Over 8% of the population went uninsured. Which is about 28 million people. *New bullet* ___________________________________________________________________________________________________________________________________________________________________ Come back here and do an aside where talk about the uninsured in the US. Point out that most people have insurance but 8.3% in 2021 did not. This means that they only access healthcare producers through out of pocket payments. Talk about bit more about them. EMPHASIZE THAT THE UNINSURED ARE POTENTIAL BUYERS OF INSURANCE. SO UNDERSTANDING FOR SOME OF THEM WHY THEY GO UNINSURED IS IMPORTANT. WE’LL ALSO SEE IF THEY ARE THE RISKS THAT HEALTH INSURERS WANT!!! __________________________________________________________________________________________________________________________________________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19</t>
  </si>
  <si>
    <t>Financing: What Coverage Do People Have? | Over 8% of population did not have insurance ( | 28 million).</t>
  </si>
  <si>
    <t>Large numbers of uninsured can cause issues for hospitals and health insurers if the uninsured don’t reimburse hospitals fully. *New bullet* For hospitals, so healthcare providers, we saw that the issue came when under-reimbursement by the uninsured could make it difficult for the hospital to stay in the green. *New bullet* Now the problem for insurers was two-fold: *New bullet* First, hospitals would cost-shift to deal with the uninsured and make up some of their losses. So costs for the insurer would increase *New bullet* And at the same time if you had a larger portion of uninsured So that was one way that the uninsured can impact private insurers. But another way to look at the uninsured is to think about why these people are uninsured and as potential purchasers of insurance (maybe). *New bullet* Additionally, the uninsured have long been a focus for policy intervention and these policies can directly impact private insurers. *New bullet* Let’s look at the uninsured in the U.S. in more depth. *Next slide* 20</t>
  </si>
  <si>
    <t>Uninsured in the U.S. | Large numbers of uninsured can cause issues for hospitals and health insurers ( | talk about this in depth later</t>
  </si>
  <si>
    <t>Now that we know how the uninsured rate has changed over time and where changes have come from recently, let’s look at some of the characteristics of the uninsured in the US. **New bullet _________________________________________________________________________________________________________________ https://www.kff.org/uninsured/issue-brief/key-facts-about-the-uninsured-population/ -- GET SHIT FROM HERE AND MBA HEALTH ECON CLASS. 21</t>
  </si>
  <si>
    <t>Uninsured in the U.S.: Characteristics | Let’s look at some characteristics of the uninsured.</t>
  </si>
  <si>
    <t>Talk about how that may sound unique because there is the idea that they are not working and there is the employer penalty but that doesn’t apply to small employers. *Next slide* _________________________________________________________________________________________________________________ https://www.kff.org/uninsured/issue-brief/key-facts-about-the-uninsured-population/ -- GET SHIT FROM HERE AND MBA HEALTH ECON CLASS. 22</t>
  </si>
  <si>
    <t>Most of families that are uninsured have a family member that works (over 73%). | Source: ACS 1-year estimates</t>
  </si>
  <si>
    <t>Lots of heterogeneity by state. Concentrated in the South and West (where Medicaid expansion less likely) Texas highest at 20.5% Massachusetts lowest at 2.9% Iowa lower end at 6%. _________________________________________________________________________________________________________________ https://www.kff.org/uninsured/issue-brief/key-facts-about-the-uninsured-population/ -- GET SHIT FROM HERE AND MBA HEALTH ECON CLASS. 23</t>
  </si>
  <si>
    <t>Highest concentration uninsured in the South and West (tied to Medicaid expansion) | Source: ACS 1-year estimates.</t>
  </si>
  <si>
    <t>Now that we know how the uninsured rate has changed over time and where changes have come from recently, let’s look at some of the characteristics of the uninsured in the US. **New bullet We want to know how long these people have been uninsured. *New bullet* Thi sis a table also using the ACA 1-year estimates *New bullet* And this is the 10.3% number we’ve been using. And its different than the overall number from before because we’re focusing on non-Medicare eligible people. *New bullet* So of the 10.3% uninsured. Over 2.3rds of them have been uninsured for a year or more, which points to more structural uninsured. https://www.cdc.gov/nchs/data/nhsr/nhsr177.pdf _________________________________________________________________________________________________________________ https://www.kff.org/uninsured/issue-brief/key-facts-about-the-uninsured-population/ -- GET SHIT FROM HERE AND MBA HEALTH ECON CLASS. 24</t>
  </si>
  <si>
    <t>Uninsured in the U.S.: Characteristics | Why are people uninsured? | Source: National Health Interview Survey</t>
  </si>
  <si>
    <t>Okay so we just talked through. *New bullet* This part of financing. Let’s consider the other elements.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25</t>
  </si>
  <si>
    <t>Okay so we’ve just talked through these two elements of financing. So let’s talk about the last element of financing, which are the third-party payers. *Next slide*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26</t>
  </si>
  <si>
    <t>START HERE 10/17!!!!! COME BACK AND ADD NOTES AND PICTURES IF TIME!!!! Okay so we just saw that sponsors provide most of the access to health insurance. *New bullet* So let’s think about the role of the sponsor in the US. *New bullet* 27</t>
  </si>
  <si>
    <t>Healthcare System: Financing | Let’s talk about sponsors and third-party payers. | What is a sponsor?</t>
  </si>
  <si>
    <t>START HERE 10/17!!!!! Read the definition *New bullet* Examples include private health insurers. *New bullet* Medicare and Medicaid *New bullet* Kaiser in here, which is an HMO that provides comprehensive health coverage because kaiser owns everything. Pharmacy benefit managers like CVS caremark that work with health insurance plans and employers to manage prescription drug benefits. *New bullet* HSA administrators like healthequity provide services for managing HAS accounts. Other examples include Employee assistance programs, Some private organizations offer voluntary benefit programs that allow employees to purchase additional insurance coverage, such as dental, vision, or disability insurance, through their workplace. _________________________________________ We tend to think of third-party payers as 28</t>
  </si>
  <si>
    <t>Role and Financing Methods: 3 | rd | Party Payers</t>
  </si>
  <si>
    <t>So let’s focus on one of the main third-party payers to start. Private health insurance. I want to start here so we can then move to the history of why health insurance is structured like this in the US and then we can talk about Medicare and Medicaid before switching to long-term care. *New bullet* We know what health insurance is. It is a financial intermediary in the healthcare system. But It has specific features that I want to talk about. *New bullet* It is structured to have patient financial incentives, consumer management strategies, provider financial incentives, and provider management strategies. *New bullet* So these different characteristics are designed to handle the different incentives caused by asymmetric information issues. For example, financial incentives deals with the moral hazard aspect of health insurance. 29</t>
  </si>
  <si>
    <t>LEFT OFF HERE 3/3!!! COME IN AND ADD (1) SPINNER AND (2) POINTS WHERE IT COULD BE FOR CREAM-SKIMMING AS GO THROUGH THESE!!! Many insurers will use their Consumer financial incentives/management strategies to cream-skim. 30</t>
  </si>
  <si>
    <t>Little Aside: Cream Skimming | Many insurers will use their consumer financial incentives/management strategies to | cream-skim</t>
  </si>
  <si>
    <t>Okay so let’s start with the first feature of a health insurer. And that’s patient financial incentives. *New bullet* These financial incentives are aimed at reducing health insurer costs, improving health outcomes (which can also reduce cost) or both. We know that a lot of this is going to be designed to decrease moral hazard or adverse selection. So let’s think about what they can do. To deal with the moral hazard problem (i.e., increase use when have insurance) To deal with adverse selection problem (i.e., sicker people demand more insurance) *New bullet* So let’s think about some examples. *New bullet* Well there are going to be examples that fall under cost-sharing incentives. *New bullet* These could be what’s known as “participation based” wellness programs. *New bullet* For example, health insurers will reimburse or premiums for groups that offer for smoking cessation programs regardless of the outcome. *New bullet* Insurers will waiver copays or deductibles for well baby visits. This is to encourage parents to take their children on a schedule for vaccines and because you can catch problems much earlier. *New bullet* And we’ve talked about this before but health insurers will also reimburse if you sign up for a gym membership or will offer lower premiums. *Next slide* 31</t>
  </si>
  <si>
    <t>Health Insurers: Consumer Financial Incentives | Consumer financial incentives | Aimed at reducing costs, improving health outcomes, or both.</t>
  </si>
  <si>
    <t>Okay *New bullet* There are also standards-based wellness programs and these are exactly what they sound like. Now these are generally through the employer and some examples include *New bullet* Providing premium discounts to employees who have an annual cholesterol test and achieve results below a threshold. *New bullet* Or waiving the annual deductible for employees who have a BMI within a specified range. Note for me: These programs must also comply with the federal Americans with Disabilities Act (ADA), which prohibits employers from discriminating against disabled individuals, and limits the circumstances under which employers can require medical examinations or responses to medical inquiries.4 Employers must also comply with the Genetic Information Non-Discrimination Act (GINA), which limits their ability to ask employees questions about family history on health risk assessments. Beginning in 2014, PPACA expands HIPAA’s wellness program exemption to allow employers to offer employees incentives of up to 30%, and could be expanded to 50% (if the Secretaries of Labor, Health and Human Services, and Treasury approved) of the cost of their coverage for meeting employer-defined health targets.6 Incentives could be in the form of premium discounts, waivers of cost-sharing requirements or the absence of a premium surcharge. Further, the law requires a 10-state demonstration project to extend wellness incentive programs to the individual insurance market where there is no employee/employer relationship. programs that are “ standardbased ” have to meet five additional benchmarks: • The reward for the program can’t exceed 20% of the cost of employee-only coverage under the plan; • The program must be “reasonably designed” to promote health or prevent disease; • The program must give employees the opportunity to qualify for the reward at least once per year; • The reward must be available to all employees, and a “reasonable alternative standard” must be available to any individual for whom it is unreasonably difficult to meet the standard due to a medical condition, or for whom is “medically inadvisable” to attempt to meet the standard; • The plan must disclose in its written materials that a reasonable alternative standard is available *New bullet* And we’ve kind of already talked about this, but these cost-sharing incentives like wellness programs can be designed to decrease moral hazard and used to cream-skimming. For example with the standards-based program has to have other plan options you can select where there is a reasonable alternative standard available to meet. *New bullet* Let’s look at how common these are even though they have some legal issues that are still ongoing. *Next slide* 32</t>
  </si>
  <si>
    <t>This is looking at how common wellness programs are by large employers ONLY 7% OFFERED THE HEALTH CONTINGENT PROGRAM LIKE TALKED ABOUT LAST SLIDE BUT THEY DID IT. https://www.kff.org/private-insurance/issue-brief/trends-in-workplace-wellness-programs-and-evolving-federal-standards/ 33</t>
  </si>
  <si>
    <t>Health Insurers: Consumer Financial Incentives | Only 7% of large employers surveyed offer health contingent program</t>
  </si>
  <si>
    <t>Another example of a cost-sharing incentive would be having reduced copays for using network providers. *New bullet* Which can still be used for cream-skimming depending on how you set your network but is also used to divert patients to cheaper places. *New bullet* You don’t just have cost-sharing incentives that provider patient financial incentives. But insurers will also provide free preventative services *New bullet* Certain types of preventative services were mandated to be covered under the ACA (although non ACA compliant plans exist). Why? *New bullet* It can be way less costly! I have the example here that prior to the ACA flue shots were generally covered by insurance. And that’s because it can save really costly bills like having to go to the emergency department *Next slide* 34</t>
  </si>
  <si>
    <t>Medication Adherence Programs : Use reminders or financial incentives to ensure patients stick to their medication schedules. COULD ALSO FALL UNDER FINANCIAL INCENTIVES BECAUSE SOME REDUCE COPAYS FOR ADHERENCE!! Disease Management Programs : Provide ongoing support and education for managing chronic conditions like diabetes or hypertension. Diabetes Management : Offers glucose monitors, diet plans, and regular check-ins with a nurse to help manage blood sugar levels. Heart Disease Management : Provides exercise regimens, cholesterol monitoring, and medication management to control cardiovascular risks. Asthma Care Program : Supplies inhalers, peak flow meters, and education on trigger avoidance. Mental Health Support : Access to therapists, medication management, and coping strategies for conditions like depression or anxiety. COPD Program : Offers pulmonary rehabilitation, oxygen therapy guidance, and medication adherence support. Cancer Care Support : Provides treatment plans, side-effect management, and psychological support for cancer patients. Medication Adherence Programs: Pill-Pack Services : Pre-sorted medication packages to help patients take the right dose at the right time. Reminders : Automated phone calls, texts, or app notifications to remind patients to take their medications. Refill Synchronization : Aligns all medication refills to a single date to make it easier for the patient. Financial Incentives : Reduced copays or vouchers for consistently adhering to medication regimens. Pharmacist Consultations : Regular check-ins with a pharmacist to discuss medication effects, side effects, and any concerns. Smart Pill Bottles : Use technology to track when a medication bottle is opened and send reminders if missed. Both types of programs aim to improve health outcomes by helping patients better manage their conditions and adhere to treatment plans. 35</t>
  </si>
  <si>
    <t>Health Insurers: Consumer Management Strategies | Consumer Management Strategies | Aimed at reducing costs, improving health outcomes, and enhance customer satisfaction (competition).</t>
  </si>
  <si>
    <t>Want to give an example about network limitations. So I went onto my UI health insurance plan (it’s the select plan) and I want to show you what I mean because when we were doing the health market game there was some skepticism about this. 36</t>
  </si>
  <si>
    <t>Ask people how many of them are going to college here out of state. Can then ask about their experience with healthcare. POINT OUT THAT WITH PPOs WILL GENERALLY COVER MOST HOSPITALS BUT THAT’S EXPENSIVE FOR THIS SLIDE POINT OUT THAT ON MY HEALTH INSURANCE PLAN LOOKING IN IOWA CITY TO GO TO A PRIMARY CARE PHYSICIAN AND THERE ARE 424 OPTIONS WITHIN A 25 MILE RADIUS. NOW WHEN SEARCH BY MY PARENTS HOUSE IN OHIO THERE ARE ZERO IN NETWORK PROVIDERS WITHIN A 150 MILE RADIUS. 37</t>
  </si>
  <si>
    <t>Consumer Management Strategies: Network Limitations</t>
  </si>
  <si>
    <t>So we’ve just talked about network limitations. *New bullet* But there could also be referral requirements *New bullet* And you learned about the difference between HMOs (Health Maintenance Organization), PPOs (preferred provider organizations), POS (point of service) and CDHPs (consumer driven health plans) in your principles class. But HMOs are best know for setting this newfor of healthcare providers but more importantly requiring a referral to see a specialist. *New bullet* We also have step therapy requirements, which are newer and getting quite a bit of buzz. Has anyone heard of this? *New bullet* And I couldn’t find a graphic that portrayed it in a positive light but step therapy is actually a newer technique utilized by insurance companies. And what it does is says that consumers have to try different medications before they can get the more expensive or experimental medication covered. Annual or lifetime caps would fall under here, formulary restructions , tiered provider networks, visit limitations, non-emergency out of network penalties, or geographic restrictions.*New bullet* Another one to reduce costs is prior-authorization. Which is that consumers have to receive prior authorization from the insurer before it will be covered. *New bullet* And what’s nice about this one is that it actually is two fold in managing consumers but can also help to manage providers and keep costs down that way. Let’s look at a fun example. *Next slide* Step therapy is when _____________________________________ How HMOs work Payers (i.e., insurers) set a network of healthcare providers. Purchaser(i.e., consumer) must select their primary care physician (PCP) The PCP is paid a flat rate for their care. The PCP gets a flat rate for each consumer. They are not paid per visit. If a consumer wants to see a specialist, they must get a referral from their PCP in order for the visit to be covered. Payers won’t cover out-of-network. How do PPOs work? For these, insurer’s negotiate fee-for-service prices with a large network of doctors/hospitals and consumers can go to any of them they want. Iowa’s PPO covers 97% of US hospitals Insurers incentivize consumers to go in-network via reduced cost-sharing. Consumers still get some coverage for out-of-network Point of Service (POS) This is a kind of hybrid between an HMO and a PPO plan. How do POS plans work? The consumer must choose a PCP who is in network (like an HMO). The PCP is paid via capitation (like an HMO). How are out-of-network visits dealt with? If the consumer gets a referral, they pay low cost-sharing If they don’t get a referral, you pay high cost-sharing But still have some coverage, unlike an HMO. These are the third cheapest kind of plan. How do CDHPs work? These combine two things: Health Savings Account (HSA) High deductible health insurance plan. 38</t>
  </si>
  <si>
    <t>Medicare but talk about the ambulance taxi paper for how prior authorization changed this. Looking at overall rides for dialysis patients in the ambulance to home. (people with End stage renal disease all get medicare ). Ambulance companies know they are covered by medicare and so are more likely to tell patients to be transported to and from appointment by ambulance. This is the principle-agent problem 39</t>
  </si>
  <si>
    <t>Prior Auth. Example: Rides to/from Dialysis | Source: “Ambulance Taxis: The Impact of Regulation and Litigation on Health-Care Fraud”</t>
  </si>
  <si>
    <t>What is this decrease? Well it is because CMS started a prior authorization requirement of repetitive non-emergency ambulance transport. *New bullet* But what is fun is that they weren’t sure how it would work So they actually selected states where they thought this principal-agent problem was highest. So They thought there was a lot of unnecessary transports occurring. 40</t>
  </si>
  <si>
    <t>Prior Auth. Example: Dialysis Transports | Year 1: NJ, SC, PA | Year 2: DE, DC, MD, NC, VA, WV</t>
  </si>
  <si>
    <t>What is this decrease? Well it is because CMS started a prior authorization requirement of repetitive non-emergency ambulance transport. *New bullet* But what is fun is that they weren’t sure how it would work So they randomly selected test states. 41</t>
  </si>
  <si>
    <t>More clear decrease here. When focus on PA. 42</t>
  </si>
  <si>
    <t>Prior Auth. Example: Payments for Rides | Source: “Ambulance Taxis: The Impact of Regulation and Litigation on Health-Care Fraud”</t>
  </si>
  <si>
    <t>Health outcomes didn’t change. POINT OUT HERE THAT PRIVATE INSURERS FOLLOWED SUIT AND STARTED REQUIRING PRIOR AUTHORIZATION FOR Insurers can get a bad rap but when you do a prior authorization well, it doesn’t impact consumers at all. The goal of the insurer is not to keep care from consumers but to make sure that this care is actually necessary. 43</t>
  </si>
  <si>
    <t>Prior Auth. Example: Consumer Impact | Source: “Ambulance Taxis: The Impact of Regulation and Litigation on Health-Care Fraud” | Private health insurers following lead and requiring more prior authorizations.</t>
  </si>
  <si>
    <t>We have selective contracting. *New bullet* And this is about the insurers network. The insurer will negotiate and contract with a specific subset of providers to be part of its network. And this controls costs because the insurer can negotiate lower rates and can decrease administrative costs because when there are fewer providers in network it can simplify administrative tasks for the insurer, it improves quality because this selective contracting generally means providers have to hit a certain benchmark or be kicked out of network. *New bullet* Another example is utilization review. *NEW bullet* Which is when the insurer monitors and evaluates the medical necessity and appropriateness of services provided. – south park video of asking the medical director if necessary *New bullet* And in fact to be a hospital, health clinic, ambulatory surgical center (these are like outpatient surgery centers) *New bullet* Add in information about medicare and ambulances and ask why medicare did this. What was the purpose? To decrease unnecessary transports. These can sometimes backfire (*can then talk about upcoding, which is technically fraud but don’t like to call it fraud*) *New bullet* 44</t>
  </si>
  <si>
    <t>Health Insurers: Provider Management Strategies | Provider management strategies: | Aimed at controlling costs, improving quality and enhancing efficiency.</t>
  </si>
  <si>
    <t>Another example would be physician profiling. *New bullet* Insurers evaluate quality indicators (e.g., readmission rates) and cost effectiveness of physicians. Better physicians given preference. Goes back to that selective contracting*New bullet* Another example would be practice guidelines, *New bullet* And these are standardized sets of recommendations that outline the appropriate care for specific medical conditions/procedures. And generally the provider won’t get paid unless they meet these guide4lines. Talk about how this deals with the principle agent problem. Won’t pay for “extraneous ” stuff * New bullet* Talk about ALS vs BLS and how require different crew and intensity and if can’t meet that or send out the wrong ambulance for the care provided then won’t be reimbursed. Another example won’t talk about are formularies because it’s another example of practice guidelines but for prescription drugs. Formularies would be like another example of practice guidelines. 45</t>
  </si>
  <si>
    <t>The last general feature of health insurers that I want to talk about are provider financial incentives. *New bullet* These are obviously offered by health insurers to align the providers financial incentives with the insurer’s goals. *New bullet* And how are insurers going to do this? *New bullet* Two ways: Bonus arrangements and risk0sharing. *New bullet* Both of these are ways to make the providers profit align with the insurers goal of cost minimzation . Remember before with the principal agent problem. Providers want to maximize their own profit as one of their goals. This is generally through providing care. So the insurer will offer these financial incentives that will help to tie provider profit with lower insurer costs. And so let’s look at some examples here. *Next slide* 46</t>
  </si>
  <si>
    <t>Health Insurers: Provider Financial Incentives | Provider Financial Incentives | Offered by health insurers to align the providers financial incentives with the insurer’s goals.</t>
  </si>
  <si>
    <t>Let’s start with the different types of bonus arrangements. *New bullet* There are tons of different types of bonus arrangements. *New bullet* For example, there are preventative care bonuses so providers receive a bonus if a certain percentage of the patients they see receive immunizations or undergo preventative screenings. *New bullet* There are enrollment based bonuses, where providers ge a bonus for maintaining or increase the the number of enrolled patients in a plan. *New bullet* This is used for capitation models. *New bullet* Can someone remind me what capitation means? *New bullet* Payment where a provider receives a fixed amount per patient for a specified period, so monthly or annually although monthly is more common. *New bullet* There are also shared savings bonuses, which are when a provider will receive a bonus if they can decrease costs while maintaining quality. They will receive a cut. *New bullet* And example of this is Medicare’s Accountable Care Organization Shared Savings Program. *New bullet* Which I just want to talk about a little briefly because it allows us to touch on a few things. *Next slide* DEFINE WHAT AN ACO IS AND GIVE NUMBERS TO PUT IT INTO CONTEXT THEN TALK ABOUT HOW MUCH MONETY THE PROGRAM HAS SAVED AND GIVE PICTURES OF WHO HAS GOTTEN IT. 47</t>
  </si>
  <si>
    <t>Health Insurers: Provider Financial Incentives | Provider Financial Incentives | Bonus Arrangements</t>
  </si>
  <si>
    <t>LEFT OFF HERE 10/17!!!!! Okay so I want to briefly talk about an ACO. *New bullet* So what is an ACO? *New bullet* Read definition. *New bullet* Explain the figure that all of these groups working together but they set it up, not the outside payer. Work with a payer partner. *New bullet* This focus on patient centered care that is integrated started with the ACA. In fact the ACO provision in the ACA started in 2011 and so ACOs are relatively new from a health insurance standpoint. *Next slide* _______________________________________________________________________________________________________________________________ https://bhmpc.com/2013/02/5-types-of-accountable-care-organizations-acos/ https://www.ncbi.nlm.nih.gov/books/NBK448136/ DEFINE WHAT AN ACO IS AND GIVE NUMBERS TO PUT IT INTO CONTEXT THEN TALK ABOUT HOW MUCH MONETY THE PROGRAM HAS SAVED AND GIVE PICTURES OF WHO HAS GOTTEN IT. 48</t>
  </si>
  <si>
    <t>Medicare’s ACO Shared Savings Program: | Medicare’s Accountable Care Organization Shared Savings Program. | What is an Accountable Care Organization (ACO)?</t>
  </si>
  <si>
    <t>When you talked in principles about the different types of health insurance plans, you likely were told about managed care. When you talk about HMOs, these come up. And so I very quickly want to talk about the difference between an ACO and an MCO. *New bullet* And I think it is important to bring up because both ACOs and MCOs emphasize improving healthcare delivery and controlling costs. But they do it very differently and this kind of goes back to the financial incentives that providers are offered under each. *New bullet* So let’s compare and contrast ACOs and MCOs. *New bullet* We just defined ACOs. They are a large group of healthcare providers that voluntarily come together generally coupled with a payer. *New bullet* In contrast, under Managed care, the health insurer sets up the healthcare organization. And the healthcare organization manages and finances the delivery of health services for that insurers specific group of enrollees. *New bullet* Under an ACO they operate under a value-based payment model. This means that they enter into contracts with insurers where the healthcare providers share the financial risk and rewards if the ACO does well. *New bullet* Whereas under managed care organization, providers receive a fixed prepayment per beneficiary either per month or per year (so capitation). This helps the provider internalize the cost of the additional care they provide. *New bullet* Under ACOs the focus is on care coordination to reduce costs. The idea is that if all of the care providers talk to each other can remove unnecessary tests or expenses if some other care provider has ruled something out. *New bullet* Whereas under MCOs, the payment structure is really the way to reduce unnecessary care. The doctor wants to be sure that actually running something truly necessary because everything they do cuts into their profit margin. *New bullet* So obviously these are related but we’ll talk more about managed care when we discuss medicare and Medicaid. *Next slide* They operate under a value-based pay ____________________________________________________________________________________________________________________ How are they different? Both emphasize improving healthcare deliver and controlling costs. THERE ARE MANAGED CARE ORGANIZATIONS BUT AGAIN THESE DIFFER FROM ACOS IN HOW THEY ARE PAID. MCOS USE A CAPITATION MODEL WHEREAS MCOS DO NOT. Managed care plans are a type of health insurance, whereas ACO isn’t a type of health insurance. Managed care (common with HMOs and more commonly PPOs) means providers receive a fixed prepayment per beneficiary per month. Goal is to reduce unnecessary utilization. ACO payments https://medium.com/@writernjerih/the-differences-between-aco-vs-mco-2be4883006fc#:~:text=In%20summary%2C%20ACOs%20and%20MCOs,%2C%20utilization%2C%20and%20cost%20containment. 49</t>
  </si>
  <si>
    <t>ACOs vs. MCOs: | How is an ACO different than managed care? | Both emphasize improving healthcare delivery and controlling costs.</t>
  </si>
  <si>
    <t>Back to our world of provider financial incentives of bonus arrangements. *New bullet* There is one more that I want to talk about and that’s patient outcome bonuses. *New bullet* These are basically pay for performance bonuses. Providers earn bonuses based on the health outcomes of their patients, such as successful management of chronic conditions. *New bullet* And so there is a bit of controversy surrounding this one. And why do you think that is? Ask students what the controversy might be. Ask them who thinks this would work really well and who thinks it won’t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50</t>
  </si>
  <si>
    <t>Talk about this is one of the main finding of a major study in the UK pay for performance policy where diabetes was concerned. Used this firue to show that from 2003 to 2005 there was a heat increase in the man quality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51</t>
  </si>
  <si>
    <t>Patient Outcomes Bonuses | Main finding of study in UK looking at these bonuses for diabetes. | Said large increase in quality score after payments</t>
  </si>
  <si>
    <t>Talk about this is one of the main finding of a major study in the UK pay for performance policy where diabetes was concerned. Used this firue to show that from 2003 to 2005 there was a heat increase in the man quality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52</t>
  </si>
  <si>
    <t>Number of years later, this study came out. | Looking at % of patients that were on medication for diabetes. | Clear positive trend increasing right as program took place.</t>
  </si>
  <si>
    <t>THIS IS THE IMPORTANCE OF REALLY LOOKING AT THE DATA AND MAKING SURE IT IS TELLING YOU WHAT YOU THINK BECAUSE MISTAKES CAN BE REALLY COSTLY!!! POINT OUT THAT THIS IS ONE OF THE BAD TIMES WHEN PRIVATE HEALTH INSURERS HAVE TO FOLLOW CMS. MEDICAID DOES IT SO IT IS MORE COMMON EVEN IF IT ISN’T NECESSARILY THE BEST AND MEDICAID EVEN STARTED THIS AFTER THIS STUDY CAME OUT (2015 AND MEDICAID STARTED 2018.) EVEN IF PRIVATE HEALTH INSURERS DIDN’T WANT TO DO THIS NOW THERE IS COMPETITION FOR THE REALLY GOOD DOCTORS WHO EXPECT THIS!! https://www.vox.com/the-big-idea/2017/1/25/14375776/pay-for-performance-doctors-bonuses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53</t>
  </si>
  <si>
    <t>Recently, ran an RCT where physicians in treatment group paid $1,024 when patients met target cholesterol levels. | There was no statistical (or economic) difference between treatment and control groups. | Not just UK, Medicaid has pay for performance.</t>
  </si>
  <si>
    <t>Okay so now let’s end by talking about the provider financial incentive of risk sharing. 54</t>
  </si>
  <si>
    <t>Health Insurers: Provider Financial Incentives | Provider Financial Incentives | Risk-Sharing</t>
  </si>
  <si>
    <t>Okay so now let’s end by talking about the provider financial incentive of risk sharing. 55</t>
  </si>
  <si>
    <t>Okay so now let’s end by talking about the provider financial incentive of risk sharing. 56</t>
  </si>
  <si>
    <t>Okay so now let’s end by talking about the provider financial incentive of risk sharing. 57</t>
  </si>
  <si>
    <t>Okay so now let’s end by talking about the provider financial incentive of risk sharing. -- Next topic should either be the history of health insurance in the us (condense this a bit and remove some of the unnecessary details) where will actually discuss the ACA in there rather than here. Or can talk about the issues that health insurers face. When do that, can do the game. This will allow other discussions. If just do the slides rather than the game, need to add in upcoding and stuff. 58</t>
  </si>
  <si>
    <t>We’ve now spent time talking about financial incentives (which addressed reimbursement). *New bullet* Let’s do a little aside and talk about how insurers can set premiums really that the sponsors are going to pay. 59</t>
  </si>
  <si>
    <t>We can think of pricing as being in three buckets. *New bullet* Can adopt some kind of experience rating *New bullet* Or they can use manual rating. *New bullet* Or they can do community rating. So let’s talk about what both of these are. *New bullet* Experience rating is a pricing strategy where the price of the premium rises and falls to match the dollar amount of claims submitted by employees during the previous period or year. So this can be individual or group level. And this type of pricing isn’t unique to health insurance. Auto insurance is famous for this type of rating. *New bullet* Under manual rating insurers go through and identify characteristics of individuals or groups that are associated with higher or lower claims experiences. The term “manual rating” comes from the practice of insurers in pre-computer days constructing rate manuals that contained information about specific risk characteristics. So for example, would have one pay for Cleveland, Ohio that showed the market area and listed rates for men and women of specific age groups with various health conditions in that area. *New bullet* Community rating is where insurers are required to pool risks over large groups. Limited in their ability to charge premiums based on risk types. *Next slide* 60</t>
  </si>
  <si>
    <t>Different Ways to Set Premiums: | There are three big categories for how premiums can be determined: | Experience Rating</t>
  </si>
  <si>
    <t>So if I want to think about a spectrum of information that you use in each pricing bucket what can be used. Or like what goes into this type of pricing. And we can think of having really detailed or granular risk information on one end of the spectrum and then the other end of the spectrum is aggregate risk information so risk information of just the group. *New bullet* Now for experience rating you can use detailed risk information (what I’m really describing is prospective experience rating but I’ll get to that in a second). So it’s closer to this end of the spectrum. Now it isn’t fully on the end because this type of experience rating can be done for the firm which is at a group level. But having information about the past is really detailed. *New bullet* Now closer to the other end of the spectrum is community rating. Here you can’t price differently based on risk but rather have to look at the risk pool as a whole. So you use the more aggregate risk information. *New bullet* And inbetween along this spectrum is manual rating. Now I could get really detailed with my manual rating and make my groups/buckets really small and at that point you would get much closer to experience rating. Or you could make the groups really broad which would bring you closer to community rating if don’t put much in there. *Next slide* Talk about this like how you talk about what a random forest does in machine learning. So probability that you are tired today. 1 bucket is you’re a student which is just all of you. That’s community rating. Manual rating is shrinking it down. And prospective experience rating is detailed enough where I can get you into your own individual bucket 61</t>
  </si>
  <si>
    <t>What Information is Needed for the Types? | Detailed risk information | Aggregate risk information</t>
  </si>
  <si>
    <t>Let me talk in a little more detail about experience rating. *New bullet* There are two types of experience rating. *New bullet* Prospective Experience Rating and Retrospective experience rating. *New bullet* Let’s start with prospective experience rating. *Next slide * In this case, the insurer will examine past claims experience of a group and develop a premium on that basis. *New bullet* Now the insurer may not have credible data. And by that, I mean that the insurer might not have lots of past data or BE SURE TO MENTION THAT FIRM BEARS UNDERWRITING RISK UNDER RETROSPECTIVE EXPERIENCE RATING 62</t>
  </si>
  <si>
    <t>1. Experience Rating | There are two types of experience rating: | Prospective Experience Rating</t>
  </si>
  <si>
    <t>Let’s start with prospective experience rating. How does prospective experience rating work? *New bullet* In this case, the insurer will examine past claims experience of a group and develop a premium on that basis. *New bullet* Now the insurer may not have credible data. And by that, I mean that the insurer might not have lots of past data or things may have changed drastically. And so then the insurer will have like a blended experience rating where the premium will come based on past claims and from data from the insurer’s overall book of business. So are your claims/losses in line with our book of business given your characteristics or higher or lower. *New bullet* I wanted to point out that the term credible is actually used in the industry. Each insurer will have their own formula for a credibility factory. And it is unique to each insurer but generally includes things that make up the objective risk like the number of people covered, the expected losses and the insurer’s past experiences with other firms. *New bullet* Who bears the underwriting risk here? The firm, the insurer or individuals? *New bullet* The insurer! *New bullet* It quotes a premium and incurs any losses that occur if the rate is too low. *Next slide* BE SURE TO MENTION THAT FIRM BEARS UNDERWRITING RISK UNDER RETROSPECTIVE EXPERIENCE RATING</t>
  </si>
  <si>
    <t>Okay so what is retrospective experience rating? *New bullet* This is going to be more commonly used with larger firms and is technically easier than prospective experience rating. So the insurer has the firm open a checking account from which the insurer writes checks to pay the claims of the firm’s employess and their dependents as the claims arise. *New bullet* The insurer then changes the firm a fee to administer the plan and to adjusticate the claims. *New bullet* So then why is this called retrospective? *New bullet* Well because the process is quite as smooth as above. *Next slide*</t>
  </si>
  <si>
    <t>1. Experience Rating | There are two types of experience rating: | Retrospective Experience Rating</t>
  </si>
  <si>
    <t>So then how does it work? *New bullet* We have the insurer and the firm. *New bullet* The firm will set up a checking account that the insurer has access to. *New bullet* Now the firm will make quarterly payments to reflect (1) administrative costs and (2) some prepayment of claims. *New bullet* Now as claims come in, the insurer will pull money out of the account to pay the claims. *New bullet* The insurer will then use that to pay healthcare providers even if the firm checking account isn’t enough. *New bullet* And at the end of the year, the firm and insurer settle up. If the firm hadn’t been correct in their assessment of the prepayment of claims then the firm must pay the insurer.</t>
  </si>
  <si>
    <t>Okay so this was the definition of retrospective experience rating. *New bullet* Who bears the underwriting risk here? *New bullet* The firm! *New bullet* If prepayments are insufficient to cover claims, the firm pays. *New bullet* So how can firms deal with this? *New bullet* Re-insurance. Or stop loss coverage from the insurer. *New bullet* In such a circumstance the firm’s premium to the insurer includes administrative fee, prepayment, and payment for stop-loss coverage. The firm can either buy aggregate stop loss coverage or specific stop loss coverage. *New bullet* Stop loss coverage can be aggregate which means that once annual claims reach some point then the firm isn’t liable or it can be individual which means that if an individual claim exceeds a threshold the firm isn’t liable for the rest of that claims. *Next slide*</t>
  </si>
  <si>
    <t>Okay so where is manual rating rused ? *New bullet* Pre-ACA used in individual .. New bullet* Post-aca used for short term policies that are non - ACA compliant. This wa pushed under the trump admin so if states offered these plans then they tended to have some kind of manual rating. Now the biden administration set a bunch of limits on this and made it much more challenging for health insurers to offer these plans but the current administration has said they will not reinforce those rules and are in active talks to of these short-term limited duration insurance policies are. *New bullet* It’s also used in medicare , specifically for pricing medicare advantage plans and we’ll talk more about this when we talk about the ACA and medicare . *Next slide* JUST TALK ABOUT WHO USES IT HERE AND MENTION WILL TALK IN MORE DETAIL WHEN WE TALK ABOUT MEDICARE AND THE ACA</t>
  </si>
  <si>
    <t>2. Manual Rating (i.e., Adjusted Community Rating) | Where is this used? | Pre-ACA,</t>
  </si>
  <si>
    <t>Okay so we’ll talk in detail about all of the community rating requirements under the ACA later in the class but just so you have an idea. But before I finish talking about community rating, I want to visualize it graphically. *Next slide*</t>
  </si>
  <si>
    <t>3. Community Rating | Where does community rating show up? | Insurer doesn’t have good information about risk types.</t>
  </si>
  <si>
    <t>No notes</t>
  </si>
  <si>
    <t>4-game</t>
  </si>
  <si>
    <t>A hospital has low Medicare reimbursement rates. What is the likely impact on health insurance premiums and quantity demanded?</t>
  </si>
  <si>
    <t xml:space="preserve">Premiums will increase and quantity demanded will decrease. This will induce a spiral where premiums keeping rising and demand keeps falling. </t>
  </si>
  <si>
    <t xml:space="preserve">Premiums will decrease and quantity demanded will increase. </t>
  </si>
  <si>
    <t xml:space="preserve">Premiums will increase and quantity demanded will decrease. This will not induce a spiral where premiums keep rising and demand keeps falling. </t>
  </si>
  <si>
    <t xml:space="preserve">This will have no impact on prices or quantity for health insurance. </t>
  </si>
  <si>
    <t>Under what conditions is cost-shifting likely to occur?</t>
  </si>
  <si>
    <t>Low Medicare reimbursement rates</t>
  </si>
  <si>
    <t xml:space="preserve">CMS reimbursement rates at cost. </t>
  </si>
  <si>
    <t>Large number of uninsured or under-insured.</t>
  </si>
  <si>
    <t xml:space="preserve">Small number of uninsured or under-insured. </t>
  </si>
  <si>
    <t>ac</t>
  </si>
  <si>
    <t>What is a key difference between cost-shifting and an adverse selection spiral?</t>
  </si>
  <si>
    <t xml:space="preserve">In cost-shifting, premiums increase for all risk types; in an adverse selection spiral, premiums increase due to low-risk individuals dropping out. </t>
  </si>
  <si>
    <t xml:space="preserve">In cost-shifting, only high-risk individuals are affected; in an adverse selection spiral, only low-risk individuals are affected. </t>
  </si>
  <si>
    <t xml:space="preserve">In cost-shifting, premiums decrease; in an adverse selection sprial, premiums increase. </t>
  </si>
  <si>
    <t xml:space="preserve">In cost-shifting, the insurance company is maximizing profits; in an adverse selection spiral, the hospital is maximizing profits. </t>
  </si>
  <si>
    <t>A hospital experiences increased costs for all risk types but no further cost increases are expected. What is the likely impact on health insurance premiums and quantity demanded?</t>
  </si>
  <si>
    <t xml:space="preserve">Premiums will increase, but will stop increasing; no spiral occurs. </t>
  </si>
  <si>
    <t xml:space="preserve">Premiums will decrease, and quantity demanded will increase. </t>
  </si>
  <si>
    <t xml:space="preserve">Premiums will remain the same, and quantity demanded will decrease. </t>
  </si>
  <si>
    <t xml:space="preserve">Premiums will increase indefinitely, leading to a spiral. </t>
  </si>
  <si>
    <t>A hospital experiences a marginal decline in the number of Medicare patients but a large increase in the number of uninsured patients compared to the previous year. What is the likely impact on health insurer costs?</t>
  </si>
  <si>
    <t xml:space="preserve">Hospital costs will increase and health insurers will bear some of that cost increase. </t>
  </si>
  <si>
    <t xml:space="preserve">Hospital costs will decrease and health insurers will share some of that cost decrease. </t>
  </si>
  <si>
    <t xml:space="preserve">Hospital costs will increase but this will not impact insurers as hospitals will absorb the cost. </t>
  </si>
  <si>
    <t xml:space="preserve">Hospital costs will decrease but this will not impact insurers costs. </t>
  </si>
  <si>
    <t>A hospital increases the prices for privately insured patients to make up for the losses incurred from treating Medicaid patients. What does this scenario illustrate?</t>
  </si>
  <si>
    <t>Charity Hazard</t>
  </si>
  <si>
    <t>Cost-shifting</t>
  </si>
  <si>
    <t>Cream-skimming</t>
  </si>
  <si>
    <t>Adverse Selection</t>
  </si>
  <si>
    <t>John, a 25-year old with no chronic illnesses, learns that the local community hospital offers free emergency care for those who can't afford it. He decides not to renew his health insurance. What does this scenario illustrate?</t>
  </si>
  <si>
    <t>Crowd-out</t>
  </si>
  <si>
    <t xml:space="preserve">y </t>
  </si>
  <si>
    <t>An insurance company designs its plans to attract young and healthy individuals while discouraging older, sicker individuals from enrolling. What does this scenario illustrate?</t>
  </si>
  <si>
    <t>A hospital provides free care to low-income patients, which leads to an increase in the number of uninsured patients seeking care. At the same time, the hospital raises prices for insured patients to cover the costs. What does this scenario illustrate?</t>
  </si>
  <si>
    <t>ab</t>
  </si>
  <si>
    <t>Hospital A notices that a significant portion of its patients are uninsured. To compensate for the financial loss, they increase the cost of MRI scans for privately insured patients. What does this scenario illustrate?</t>
  </si>
  <si>
    <t>An insurance company offers a new plan with a very high deductible and low premiums. What does this scenario illustrate?</t>
  </si>
  <si>
    <t>An insurance company offers a plan that excludes coverage for certain high blood pressure medications. What does this scenario illustrate?</t>
  </si>
  <si>
    <t>An insurance company offers a plan that includes coverage for certain high blood pressure medications. What does this scenario illustrate?</t>
  </si>
  <si>
    <t>An insurance company is deciding on which providers to include in-network. They decide to only include providers whose offices have limited disability access. What does this scenario illustrate?</t>
  </si>
  <si>
    <t>A hospital provides low cost diabetes management courses to low-income patients. As a result, the number of uninsured patients seeking diabetes care increases. The hospital raises the price of insulin for insured patients. What does this scenario illustrate?</t>
  </si>
  <si>
    <t>An insurance company is deciding on which providers to include in-network. They decide to include the best heart surgeon in the country. What does this scenario illustrate?</t>
  </si>
  <si>
    <t>An insurance company offers a new plan with a low deductible and high premiums. What does this scenario illustrate?</t>
  </si>
  <si>
    <t>An insurance company tries to attract only young and health individuals but finds that many are not enrolling because they know that they can get low cost care at a local hospital. How does charity hazard affect the insurers cream-skimming?</t>
  </si>
  <si>
    <t xml:space="preserve">It makes it easier because young people are more likely to take risks. </t>
  </si>
  <si>
    <t xml:space="preserve">Charity hazard makes it more difficult to cream skim because young, health individuals may opt for free care instead. </t>
  </si>
  <si>
    <t>It has no effect because charity hazard only impacts older populations.</t>
  </si>
  <si>
    <t xml:space="preserve">It makes it easier because the hospital's free care attracts only high-risk individuals. </t>
  </si>
  <si>
    <t>How does the presence of charity hazard in a community impact an insurance company's cream-skimming strategy?</t>
  </si>
  <si>
    <t xml:space="preserve">It enhances the strategy by discouraging high-risk individuals from enrolling. </t>
  </si>
  <si>
    <t xml:space="preserve">It undermines the strategy by providing an alternative for low-risk individuals. </t>
  </si>
  <si>
    <t xml:space="preserve">It has no impact because charity hazard and cream-skimming target different populations. </t>
  </si>
  <si>
    <t xml:space="preserve">It enhances the strategy by attracting more low-risk individuals to the insurance plan. </t>
  </si>
  <si>
    <t>A health insurance startup is finding it difficult to attract young adults to its low-premium, high deductible plans because a local charity hospital offers free basic healthcare. Which of the following is an incorrect explanation for why this is happening?</t>
  </si>
  <si>
    <t xml:space="preserve">The charity hospital is attracting all the high-risk individuals making it easier for the startup to cream skim. </t>
  </si>
  <si>
    <t xml:space="preserve">The charity hospital provides an alternative for low-risk individuals the start-up is targeting. </t>
  </si>
  <si>
    <t>The charity hospital is making the startup's insurance plans less appealing to young adults.</t>
  </si>
  <si>
    <t xml:space="preserve">The charity hospital is making it more difficult to get care making it easier to cream skim. </t>
  </si>
  <si>
    <t>ad</t>
  </si>
  <si>
    <t>Which of the following is(are) an incorrect description(s) of charity hazard?</t>
  </si>
  <si>
    <t>Charity hazard occurs when free healthcare services lead to an increase in risky behavior</t>
  </si>
  <si>
    <t xml:space="preserve">Charity hazard occurs when free healthcare services discourage individuals from purchasing insurance. </t>
  </si>
  <si>
    <t xml:space="preserve">Charity hazard occurs when people opt for free or low-cost healthcare services instead of enrolling in insurance plans. </t>
  </si>
  <si>
    <t>Charity hazard occurs when free or low cost healthcare services attract uninsured individuals</t>
  </si>
  <si>
    <t>Charity hazard leads to an increase in the number of people engaging in risky activities.</t>
  </si>
  <si>
    <t xml:space="preserve">Charity hazard discourages low-risk individuals from buying insurance. </t>
  </si>
  <si>
    <t xml:space="preserve">Charity hazard provides an alternative to insurance for low-income individuals. </t>
  </si>
  <si>
    <t xml:space="preserve">Charity hazard can make it difficult for insurance companies to cream-skim. </t>
  </si>
  <si>
    <t>A hospital's patient population shifts from the previous year, with an increase in Medicare and Medicaid patients and a decrease in uninsured patients. What is the likely impact on health insurer costs?</t>
  </si>
  <si>
    <t xml:space="preserve">Increase due to lower reimbursement rates to the hospital by Medicare and Medicaid patients. </t>
  </si>
  <si>
    <t>Decrease due to fewer uninsured patients at the hospital</t>
  </si>
  <si>
    <t xml:space="preserve">Not enough information to answer the question. The decrease in uninsured patients should decrease costs but the increase in Medicare/Medicaid patients should increase costs. </t>
  </si>
  <si>
    <t xml:space="preserve">Not enough information to answer the question. The decrease in uninsured patients should increase costs but the increase in Medicare/Medicaid patients should decrease costs. </t>
  </si>
  <si>
    <t>A childless, low-income man in Georgia who is eligible for charity care decides against purchasing health insurance. What does this decision illustrate?</t>
  </si>
  <si>
    <t>Upcoding</t>
  </si>
  <si>
    <t>Which of the following is least likely to be a direct result of charity care policies and EMTALA?</t>
  </si>
  <si>
    <t>Reduced private insurance coverage among individuals with low willingness to pay</t>
  </si>
  <si>
    <t>Increased cost-shifting to private insurers</t>
  </si>
  <si>
    <t>Greater demand on emergency departments for the uninsured</t>
  </si>
  <si>
    <t>Lower premiums for private health insurance</t>
  </si>
  <si>
    <t xml:space="preserve">When Medicare reimbursement drops below cost, which of the following actions reflect optimal hospital strategy? </t>
  </si>
  <si>
    <t xml:space="preserve">How is cost-shifting fundamentally different from an adverse selection spiral? </t>
  </si>
  <si>
    <t xml:space="preserve">To maintain non-profit status, hospitals are required to fulfill which of the following obligations? </t>
  </si>
  <si>
    <t xml:space="preserve">When charity hazard reduces individual willingness to pay, which of the following consequences does the insurer face? </t>
  </si>
  <si>
    <t xml:space="preserve">According to the lecture, which groups experience the largest premium declines as a result of charity hazard? </t>
  </si>
  <si>
    <t>They were required to provide free care to all patients below 200\% of the federal poverty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</si>
</sst>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Arial"/>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top" wrapText="1"/>
    </xf>
    <xf numFmtId="0" fontId="1" fillId="2"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2"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tabSelected="1" topLeftCell="E1" workbookViewId="0">
      <selection activeCell="P9" sqref="P9"/>
    </sheetView>
  </sheetViews>
  <sheetFormatPr baseColWidth="10" defaultColWidth="8.6640625" defaultRowHeight="15" x14ac:dyDescent="0.2"/>
  <cols>
    <col min="1" max="1" width="9" customWidth="1"/>
    <col min="2" max="2" width="65" customWidth="1"/>
    <col min="3" max="6" width="38" customWidth="1"/>
    <col min="7" max="7" width="8" customWidth="1"/>
    <col min="8" max="10" width="10" customWidth="1"/>
    <col min="11" max="11" width="8" customWidth="1"/>
    <col min="12" max="12" width="18" customWidth="1"/>
  </cols>
  <sheetData>
    <row r="1" spans="1:12" ht="16" x14ac:dyDescent="0.2">
      <c r="A1" s="5" t="s">
        <v>0</v>
      </c>
      <c r="B1" s="6" t="s">
        <v>1</v>
      </c>
      <c r="C1" s="6" t="s">
        <v>2</v>
      </c>
      <c r="D1" s="6" t="s">
        <v>3</v>
      </c>
      <c r="E1" s="6" t="s">
        <v>4</v>
      </c>
      <c r="F1" s="6" t="s">
        <v>5</v>
      </c>
      <c r="G1" s="5" t="s">
        <v>6</v>
      </c>
      <c r="H1" s="5" t="s">
        <v>7</v>
      </c>
      <c r="I1" s="5" t="s">
        <v>8</v>
      </c>
      <c r="J1" s="5" t="s">
        <v>9</v>
      </c>
      <c r="K1" s="5" t="s">
        <v>10</v>
      </c>
      <c r="L1" s="6" t="s">
        <v>11</v>
      </c>
    </row>
    <row r="2" spans="1:12" ht="45" x14ac:dyDescent="0.2">
      <c r="A2" s="7" t="s">
        <v>248</v>
      </c>
      <c r="B2" s="7" t="s">
        <v>17</v>
      </c>
      <c r="C2" s="7" t="s">
        <v>18</v>
      </c>
      <c r="D2" s="7" t="s">
        <v>19</v>
      </c>
      <c r="E2" s="7" t="s">
        <v>20</v>
      </c>
      <c r="F2" s="7" t="s">
        <v>21</v>
      </c>
      <c r="G2" s="7" t="s">
        <v>14</v>
      </c>
      <c r="H2" s="7" t="s">
        <v>3</v>
      </c>
      <c r="I2" s="7"/>
      <c r="J2" s="7"/>
      <c r="K2" s="7">
        <v>1</v>
      </c>
      <c r="L2" s="7"/>
    </row>
    <row r="3" spans="1:12" ht="60" x14ac:dyDescent="0.2">
      <c r="A3" s="7" t="s">
        <v>248</v>
      </c>
      <c r="B3" s="7" t="s">
        <v>22</v>
      </c>
      <c r="C3" s="7" t="s">
        <v>23</v>
      </c>
      <c r="D3" s="7" t="s">
        <v>24</v>
      </c>
      <c r="E3" s="7" t="s">
        <v>25</v>
      </c>
      <c r="F3" s="7" t="s">
        <v>26</v>
      </c>
      <c r="G3" s="7" t="s">
        <v>14</v>
      </c>
      <c r="H3" s="7" t="s">
        <v>3</v>
      </c>
      <c r="I3" s="7"/>
      <c r="J3" s="7"/>
      <c r="K3" s="7">
        <f>K2+1</f>
        <v>2</v>
      </c>
      <c r="L3" s="7"/>
    </row>
    <row r="4" spans="1:12" ht="30" x14ac:dyDescent="0.2">
      <c r="A4" s="7" t="s">
        <v>248</v>
      </c>
      <c r="B4" s="7" t="s">
        <v>331</v>
      </c>
      <c r="C4" s="7" t="s">
        <v>27</v>
      </c>
      <c r="D4" s="7" t="s">
        <v>28</v>
      </c>
      <c r="E4" s="7" t="s">
        <v>29</v>
      </c>
      <c r="F4" s="7" t="s">
        <v>30</v>
      </c>
      <c r="G4" s="7" t="s">
        <v>12</v>
      </c>
      <c r="H4" s="7" t="s">
        <v>15</v>
      </c>
      <c r="I4" s="7"/>
      <c r="J4" s="7"/>
      <c r="K4" s="7">
        <f t="shared" ref="K4:K25" si="0">K3+1</f>
        <v>3</v>
      </c>
      <c r="L4" s="7"/>
    </row>
    <row r="5" spans="1:12" ht="60" x14ac:dyDescent="0.2">
      <c r="A5" s="7" t="s">
        <v>248</v>
      </c>
      <c r="B5" s="7" t="s">
        <v>31</v>
      </c>
      <c r="C5" s="7" t="s">
        <v>32</v>
      </c>
      <c r="D5" s="7" t="s">
        <v>33</v>
      </c>
      <c r="E5" s="7" t="s">
        <v>34</v>
      </c>
      <c r="F5" s="7" t="s">
        <v>35</v>
      </c>
      <c r="G5" s="7" t="s">
        <v>14</v>
      </c>
      <c r="H5" s="7" t="s">
        <v>3</v>
      </c>
      <c r="I5" s="7"/>
      <c r="J5" s="7"/>
      <c r="K5" s="7">
        <f t="shared" si="0"/>
        <v>4</v>
      </c>
      <c r="L5" s="7"/>
    </row>
    <row r="6" spans="1:12" ht="45" x14ac:dyDescent="0.2">
      <c r="A6" s="7" t="s">
        <v>248</v>
      </c>
      <c r="B6" s="7" t="s">
        <v>36</v>
      </c>
      <c r="C6" s="7" t="s">
        <v>37</v>
      </c>
      <c r="D6" s="7" t="s">
        <v>38</v>
      </c>
      <c r="E6" s="7" t="s">
        <v>39</v>
      </c>
      <c r="F6" s="7" t="s">
        <v>40</v>
      </c>
      <c r="G6" s="7" t="s">
        <v>14</v>
      </c>
      <c r="H6" s="7" t="s">
        <v>3</v>
      </c>
      <c r="I6" s="7"/>
      <c r="J6" s="7"/>
      <c r="K6" s="7">
        <f t="shared" si="0"/>
        <v>5</v>
      </c>
      <c r="L6" s="7"/>
    </row>
    <row r="7" spans="1:12" ht="60" x14ac:dyDescent="0.2">
      <c r="A7" s="7" t="s">
        <v>248</v>
      </c>
      <c r="B7" s="7" t="s">
        <v>41</v>
      </c>
      <c r="C7" s="7" t="s">
        <v>42</v>
      </c>
      <c r="D7" s="7" t="s">
        <v>43</v>
      </c>
      <c r="E7" s="7" t="s">
        <v>44</v>
      </c>
      <c r="F7" s="7" t="s">
        <v>45</v>
      </c>
      <c r="G7" s="7" t="s">
        <v>14</v>
      </c>
      <c r="H7" s="7" t="s">
        <v>3</v>
      </c>
      <c r="I7" s="7"/>
      <c r="J7" s="7"/>
      <c r="K7" s="7">
        <f t="shared" si="0"/>
        <v>6</v>
      </c>
      <c r="L7" s="7"/>
    </row>
    <row r="8" spans="1:12" ht="60" x14ac:dyDescent="0.2">
      <c r="A8" s="7" t="s">
        <v>248</v>
      </c>
      <c r="B8" s="7" t="s">
        <v>332</v>
      </c>
      <c r="C8" s="7" t="s">
        <v>46</v>
      </c>
      <c r="D8" s="7" t="s">
        <v>47</v>
      </c>
      <c r="E8" s="7" t="s">
        <v>48</v>
      </c>
      <c r="F8" s="7" t="s">
        <v>49</v>
      </c>
      <c r="G8" s="7" t="s">
        <v>12</v>
      </c>
      <c r="H8" s="7" t="s">
        <v>16</v>
      </c>
      <c r="I8" s="7"/>
      <c r="J8" s="7"/>
      <c r="K8" s="7">
        <f t="shared" si="0"/>
        <v>7</v>
      </c>
      <c r="L8" s="7"/>
    </row>
    <row r="9" spans="1:12" ht="30" x14ac:dyDescent="0.2">
      <c r="A9" s="7" t="s">
        <v>248</v>
      </c>
      <c r="B9" s="7" t="s">
        <v>50</v>
      </c>
      <c r="C9" s="7" t="s">
        <v>51</v>
      </c>
      <c r="D9" s="7" t="s">
        <v>52</v>
      </c>
      <c r="E9" s="7" t="s">
        <v>53</v>
      </c>
      <c r="F9" s="7" t="s">
        <v>54</v>
      </c>
      <c r="G9" s="7" t="s">
        <v>14</v>
      </c>
      <c r="H9" s="7" t="s">
        <v>3</v>
      </c>
      <c r="I9" s="7"/>
      <c r="J9" s="7"/>
      <c r="K9" s="7">
        <f t="shared" si="0"/>
        <v>8</v>
      </c>
      <c r="L9" s="7"/>
    </row>
    <row r="10" spans="1:12" ht="45" x14ac:dyDescent="0.2">
      <c r="A10" s="7" t="s">
        <v>248</v>
      </c>
      <c r="B10" s="7" t="s">
        <v>55</v>
      </c>
      <c r="C10" s="7" t="s">
        <v>56</v>
      </c>
      <c r="D10" s="7" t="s">
        <v>57</v>
      </c>
      <c r="E10" s="7" t="s">
        <v>58</v>
      </c>
      <c r="F10" s="7" t="s">
        <v>59</v>
      </c>
      <c r="G10" s="7" t="s">
        <v>14</v>
      </c>
      <c r="H10" s="7" t="s">
        <v>3</v>
      </c>
      <c r="I10" s="7"/>
      <c r="J10" s="7"/>
      <c r="K10" s="7">
        <f t="shared" si="0"/>
        <v>9</v>
      </c>
      <c r="L10" s="7"/>
    </row>
    <row r="11" spans="1:12" ht="45" x14ac:dyDescent="0.2">
      <c r="A11" s="7" t="s">
        <v>248</v>
      </c>
      <c r="B11" s="7" t="s">
        <v>60</v>
      </c>
      <c r="C11" s="7" t="s">
        <v>61</v>
      </c>
      <c r="D11" s="7" t="s">
        <v>62</v>
      </c>
      <c r="E11" s="7" t="s">
        <v>63</v>
      </c>
      <c r="F11" s="7" t="s">
        <v>64</v>
      </c>
      <c r="G11" s="7" t="s">
        <v>14</v>
      </c>
      <c r="H11" s="7" t="s">
        <v>3</v>
      </c>
      <c r="I11" s="7"/>
      <c r="J11" s="7"/>
      <c r="K11" s="7">
        <f t="shared" si="0"/>
        <v>10</v>
      </c>
      <c r="L11" s="7"/>
    </row>
    <row r="12" spans="1:12" ht="45" x14ac:dyDescent="0.2">
      <c r="A12" s="7" t="s">
        <v>248</v>
      </c>
      <c r="B12" s="7" t="s">
        <v>65</v>
      </c>
      <c r="C12" s="7" t="s">
        <v>66</v>
      </c>
      <c r="D12" s="7" t="s">
        <v>67</v>
      </c>
      <c r="E12" s="7" t="s">
        <v>68</v>
      </c>
      <c r="F12" s="7" t="s">
        <v>69</v>
      </c>
      <c r="G12" s="7" t="s">
        <v>14</v>
      </c>
      <c r="H12" s="7" t="s">
        <v>4</v>
      </c>
      <c r="I12" s="7"/>
      <c r="J12" s="7"/>
      <c r="K12" s="7">
        <f t="shared" si="0"/>
        <v>11</v>
      </c>
      <c r="L12" s="7"/>
    </row>
    <row r="13" spans="1:12" ht="60" x14ac:dyDescent="0.2">
      <c r="A13" s="7" t="s">
        <v>248</v>
      </c>
      <c r="B13" s="7" t="s">
        <v>70</v>
      </c>
      <c r="C13" s="7" t="s">
        <v>71</v>
      </c>
      <c r="D13" s="7" t="s">
        <v>72</v>
      </c>
      <c r="E13" s="7" t="s">
        <v>73</v>
      </c>
      <c r="F13" s="7" t="s">
        <v>74</v>
      </c>
      <c r="G13" s="7" t="s">
        <v>14</v>
      </c>
      <c r="H13" s="7" t="s">
        <v>3</v>
      </c>
      <c r="I13" s="7"/>
      <c r="J13" s="7"/>
      <c r="K13" s="7">
        <f t="shared" si="0"/>
        <v>12</v>
      </c>
      <c r="L13" s="7"/>
    </row>
    <row r="14" spans="1:12" ht="45" x14ac:dyDescent="0.2">
      <c r="A14" s="7" t="s">
        <v>248</v>
      </c>
      <c r="B14" s="7" t="s">
        <v>75</v>
      </c>
      <c r="C14" s="7" t="s">
        <v>76</v>
      </c>
      <c r="D14" s="7" t="s">
        <v>77</v>
      </c>
      <c r="E14" s="7" t="s">
        <v>78</v>
      </c>
      <c r="F14" s="7" t="s">
        <v>79</v>
      </c>
      <c r="G14" s="7" t="s">
        <v>14</v>
      </c>
      <c r="H14" s="7" t="s">
        <v>3</v>
      </c>
      <c r="I14" s="7"/>
      <c r="J14" s="7"/>
      <c r="K14" s="7">
        <f t="shared" si="0"/>
        <v>13</v>
      </c>
      <c r="L14" s="7"/>
    </row>
    <row r="15" spans="1:12" ht="30" x14ac:dyDescent="0.2">
      <c r="A15" s="7" t="s">
        <v>248</v>
      </c>
      <c r="B15" s="7" t="s">
        <v>333</v>
      </c>
      <c r="C15" s="7" t="s">
        <v>80</v>
      </c>
      <c r="D15" s="7" t="s">
        <v>81</v>
      </c>
      <c r="E15" s="7" t="s">
        <v>82</v>
      </c>
      <c r="F15" s="7" t="s">
        <v>83</v>
      </c>
      <c r="G15" s="7" t="s">
        <v>12</v>
      </c>
      <c r="H15" s="7" t="s">
        <v>13</v>
      </c>
      <c r="I15" s="7"/>
      <c r="J15" s="7"/>
      <c r="K15" s="7">
        <f t="shared" si="0"/>
        <v>14</v>
      </c>
      <c r="L15" s="7"/>
    </row>
    <row r="16" spans="1:12" ht="45" x14ac:dyDescent="0.2">
      <c r="A16" s="7" t="s">
        <v>248</v>
      </c>
      <c r="B16" s="7" t="s">
        <v>84</v>
      </c>
      <c r="C16" s="7" t="s">
        <v>336</v>
      </c>
      <c r="D16" s="7" t="s">
        <v>85</v>
      </c>
      <c r="E16" s="7" t="s">
        <v>86</v>
      </c>
      <c r="F16" s="7" t="s">
        <v>87</v>
      </c>
      <c r="G16" s="7" t="s">
        <v>14</v>
      </c>
      <c r="H16" s="7" t="s">
        <v>3</v>
      </c>
      <c r="I16" s="7"/>
      <c r="J16" s="7"/>
      <c r="K16" s="7">
        <f t="shared" si="0"/>
        <v>15</v>
      </c>
      <c r="L16" s="7"/>
    </row>
    <row r="17" spans="1:12" ht="60" x14ac:dyDescent="0.2">
      <c r="A17" s="7" t="s">
        <v>248</v>
      </c>
      <c r="B17" s="7" t="s">
        <v>88</v>
      </c>
      <c r="C17" s="7" t="s">
        <v>89</v>
      </c>
      <c r="D17" s="7" t="s">
        <v>90</v>
      </c>
      <c r="E17" s="7" t="s">
        <v>91</v>
      </c>
      <c r="F17" s="7" t="s">
        <v>92</v>
      </c>
      <c r="G17" s="7" t="s">
        <v>14</v>
      </c>
      <c r="H17" s="7" t="s">
        <v>3</v>
      </c>
      <c r="I17" s="7"/>
      <c r="J17" s="7"/>
      <c r="K17" s="7">
        <f t="shared" si="0"/>
        <v>16</v>
      </c>
      <c r="L17" s="7"/>
    </row>
    <row r="18" spans="1:12" ht="45" x14ac:dyDescent="0.2">
      <c r="A18" s="7" t="s">
        <v>248</v>
      </c>
      <c r="B18" s="7" t="s">
        <v>334</v>
      </c>
      <c r="C18" s="7" t="s">
        <v>93</v>
      </c>
      <c r="D18" s="7" t="s">
        <v>94</v>
      </c>
      <c r="E18" s="7" t="s">
        <v>95</v>
      </c>
      <c r="F18" s="7" t="s">
        <v>96</v>
      </c>
      <c r="G18" s="7" t="s">
        <v>12</v>
      </c>
      <c r="H18" s="7" t="s">
        <v>16</v>
      </c>
      <c r="I18" s="7"/>
      <c r="J18" s="7"/>
      <c r="K18" s="7">
        <f t="shared" si="0"/>
        <v>17</v>
      </c>
      <c r="L18" s="7"/>
    </row>
    <row r="19" spans="1:12" ht="30" x14ac:dyDescent="0.2">
      <c r="A19" s="7" t="s">
        <v>248</v>
      </c>
      <c r="B19" s="7" t="s">
        <v>335</v>
      </c>
      <c r="C19" s="7" t="s">
        <v>97</v>
      </c>
      <c r="D19" s="7" t="s">
        <v>98</v>
      </c>
      <c r="E19" s="7" t="s">
        <v>99</v>
      </c>
      <c r="F19" s="7" t="s">
        <v>100</v>
      </c>
      <c r="G19" s="7" t="s">
        <v>12</v>
      </c>
      <c r="H19" s="7" t="s">
        <v>15</v>
      </c>
      <c r="I19" s="7"/>
      <c r="J19" s="7"/>
      <c r="K19" s="7">
        <f t="shared" si="0"/>
        <v>18</v>
      </c>
      <c r="L19" s="7"/>
    </row>
    <row r="20" spans="1:12" ht="45" x14ac:dyDescent="0.2">
      <c r="A20" s="7" t="s">
        <v>248</v>
      </c>
      <c r="B20" s="7" t="s">
        <v>101</v>
      </c>
      <c r="C20" s="7" t="s">
        <v>102</v>
      </c>
      <c r="D20" s="7" t="s">
        <v>103</v>
      </c>
      <c r="E20" s="7" t="s">
        <v>104</v>
      </c>
      <c r="F20" s="7" t="s">
        <v>105</v>
      </c>
      <c r="G20" s="7" t="s">
        <v>14</v>
      </c>
      <c r="H20" s="7" t="s">
        <v>3</v>
      </c>
      <c r="I20" s="7"/>
      <c r="J20" s="7"/>
      <c r="K20" s="7">
        <f t="shared" si="0"/>
        <v>19</v>
      </c>
      <c r="L20" s="7"/>
    </row>
    <row r="21" spans="1:12" ht="30" x14ac:dyDescent="0.2">
      <c r="A21" s="7" t="s">
        <v>248</v>
      </c>
      <c r="B21" s="7" t="s">
        <v>106</v>
      </c>
      <c r="C21" s="7" t="s">
        <v>107</v>
      </c>
      <c r="D21" s="7" t="s">
        <v>108</v>
      </c>
      <c r="E21" s="7" t="s">
        <v>109</v>
      </c>
      <c r="F21" s="7" t="s">
        <v>110</v>
      </c>
      <c r="G21" s="7" t="s">
        <v>14</v>
      </c>
      <c r="H21" s="7" t="s">
        <v>3</v>
      </c>
      <c r="I21" s="7"/>
      <c r="J21" s="7"/>
      <c r="K21" s="7">
        <f>K20+1</f>
        <v>20</v>
      </c>
      <c r="L21" s="7"/>
    </row>
    <row r="22" spans="1:12" ht="60" x14ac:dyDescent="0.2">
      <c r="A22" s="7" t="s">
        <v>248</v>
      </c>
      <c r="B22" s="7" t="s">
        <v>111</v>
      </c>
      <c r="C22" s="7" t="s">
        <v>112</v>
      </c>
      <c r="D22" s="7" t="s">
        <v>113</v>
      </c>
      <c r="E22" s="7" t="s">
        <v>114</v>
      </c>
      <c r="F22" s="7" t="s">
        <v>115</v>
      </c>
      <c r="G22" s="7" t="s">
        <v>14</v>
      </c>
      <c r="H22" s="7" t="s">
        <v>3</v>
      </c>
      <c r="I22" s="7"/>
      <c r="J22" s="7"/>
      <c r="K22" s="7">
        <f t="shared" si="0"/>
        <v>21</v>
      </c>
      <c r="L22" s="7"/>
    </row>
    <row r="23" spans="1:12" ht="45" x14ac:dyDescent="0.2">
      <c r="A23" s="7" t="s">
        <v>248</v>
      </c>
      <c r="B23" s="7" t="s">
        <v>116</v>
      </c>
      <c r="C23" s="7" t="s">
        <v>117</v>
      </c>
      <c r="D23" s="7" t="s">
        <v>118</v>
      </c>
      <c r="E23" s="7" t="s">
        <v>119</v>
      </c>
      <c r="F23" s="7" t="s">
        <v>120</v>
      </c>
      <c r="G23" s="7" t="s">
        <v>14</v>
      </c>
      <c r="H23" s="7" t="s">
        <v>3</v>
      </c>
      <c r="I23" s="7"/>
      <c r="J23" s="7"/>
      <c r="K23" s="7">
        <f t="shared" si="0"/>
        <v>22</v>
      </c>
      <c r="L23" s="7"/>
    </row>
    <row r="24" spans="1:12" ht="60" x14ac:dyDescent="0.2">
      <c r="A24" s="7" t="s">
        <v>248</v>
      </c>
      <c r="B24" s="7" t="s">
        <v>121</v>
      </c>
      <c r="C24" s="7" t="s">
        <v>122</v>
      </c>
      <c r="D24" s="7" t="s">
        <v>123</v>
      </c>
      <c r="E24" s="7" t="s">
        <v>124</v>
      </c>
      <c r="F24" s="7" t="s">
        <v>125</v>
      </c>
      <c r="G24" s="7" t="s">
        <v>14</v>
      </c>
      <c r="H24" s="7" t="s">
        <v>3</v>
      </c>
      <c r="I24" s="7"/>
      <c r="J24" s="7"/>
      <c r="K24" s="7">
        <f>K23+1</f>
        <v>23</v>
      </c>
      <c r="L24" s="7"/>
    </row>
    <row r="25" spans="1:12" ht="100" customHeight="1" x14ac:dyDescent="0.2">
      <c r="A25" s="8" t="s">
        <v>248</v>
      </c>
      <c r="B25" s="8" t="s">
        <v>249</v>
      </c>
      <c r="C25" s="8" t="s">
        <v>250</v>
      </c>
      <c r="D25" s="8" t="s">
        <v>251</v>
      </c>
      <c r="E25" s="8" t="s">
        <v>252</v>
      </c>
      <c r="F25" s="8" t="s">
        <v>253</v>
      </c>
      <c r="G25" s="8" t="s">
        <v>14</v>
      </c>
      <c r="H25" s="8" t="s">
        <v>4</v>
      </c>
      <c r="J25" s="8"/>
      <c r="K25">
        <f t="shared" si="0"/>
        <v>24</v>
      </c>
    </row>
    <row r="26" spans="1:12" ht="100" customHeight="1" x14ac:dyDescent="0.2">
      <c r="A26" s="8" t="s">
        <v>248</v>
      </c>
      <c r="B26" s="8" t="s">
        <v>254</v>
      </c>
      <c r="C26" s="8" t="s">
        <v>255</v>
      </c>
      <c r="D26" s="8" t="s">
        <v>256</v>
      </c>
      <c r="E26" s="8" t="s">
        <v>257</v>
      </c>
      <c r="F26" s="8" t="s">
        <v>258</v>
      </c>
      <c r="G26" s="8" t="s">
        <v>12</v>
      </c>
      <c r="H26" s="8" t="s">
        <v>259</v>
      </c>
      <c r="J26" s="8"/>
      <c r="K26">
        <f>K25+1</f>
        <v>25</v>
      </c>
    </row>
    <row r="27" spans="1:12" ht="100" customHeight="1" x14ac:dyDescent="0.2">
      <c r="A27" s="8" t="s">
        <v>248</v>
      </c>
      <c r="B27" s="8" t="s">
        <v>260</v>
      </c>
      <c r="C27" s="8" t="s">
        <v>261</v>
      </c>
      <c r="D27" s="8" t="s">
        <v>262</v>
      </c>
      <c r="E27" s="8" t="s">
        <v>263</v>
      </c>
      <c r="F27" s="8" t="s">
        <v>264</v>
      </c>
      <c r="G27" s="8" t="s">
        <v>12</v>
      </c>
      <c r="H27" s="8" t="s">
        <v>2</v>
      </c>
      <c r="J27" s="8"/>
      <c r="K27">
        <f t="shared" ref="K27:K30" si="1">K26+1</f>
        <v>26</v>
      </c>
    </row>
    <row r="28" spans="1:12" ht="100" customHeight="1" x14ac:dyDescent="0.2">
      <c r="A28" s="8" t="s">
        <v>248</v>
      </c>
      <c r="B28" s="8" t="s">
        <v>265</v>
      </c>
      <c r="C28" s="8" t="s">
        <v>266</v>
      </c>
      <c r="D28" s="8" t="s">
        <v>267</v>
      </c>
      <c r="E28" s="8" t="s">
        <v>268</v>
      </c>
      <c r="F28" s="8" t="s">
        <v>269</v>
      </c>
      <c r="G28" s="8" t="s">
        <v>14</v>
      </c>
      <c r="H28" s="8" t="s">
        <v>2</v>
      </c>
      <c r="J28" s="8"/>
      <c r="K28">
        <f t="shared" si="1"/>
        <v>27</v>
      </c>
    </row>
    <row r="29" spans="1:12" ht="100" customHeight="1" x14ac:dyDescent="0.2">
      <c r="A29" s="8" t="s">
        <v>248</v>
      </c>
      <c r="B29" s="8" t="s">
        <v>270</v>
      </c>
      <c r="C29" s="8" t="s">
        <v>271</v>
      </c>
      <c r="D29" s="8" t="s">
        <v>272</v>
      </c>
      <c r="E29" s="8" t="s">
        <v>273</v>
      </c>
      <c r="F29" s="8" t="s">
        <v>274</v>
      </c>
      <c r="G29" s="8" t="s">
        <v>14</v>
      </c>
      <c r="H29" s="8" t="s">
        <v>2</v>
      </c>
      <c r="J29" s="8"/>
      <c r="K29">
        <f t="shared" si="1"/>
        <v>28</v>
      </c>
    </row>
    <row r="30" spans="1:12" ht="100" customHeight="1" x14ac:dyDescent="0.2">
      <c r="A30" s="8" t="s">
        <v>248</v>
      </c>
      <c r="B30" s="8" t="s">
        <v>275</v>
      </c>
      <c r="C30" s="8" t="s">
        <v>276</v>
      </c>
      <c r="D30" s="8" t="s">
        <v>277</v>
      </c>
      <c r="E30" s="8" t="s">
        <v>278</v>
      </c>
      <c r="F30" s="8" t="s">
        <v>279</v>
      </c>
      <c r="G30" s="8" t="s">
        <v>12</v>
      </c>
      <c r="H30" s="8" t="s">
        <v>3</v>
      </c>
      <c r="J30" s="8"/>
      <c r="K30">
        <f t="shared" si="1"/>
        <v>29</v>
      </c>
    </row>
    <row r="31" spans="1:12" ht="100" customHeight="1" x14ac:dyDescent="0.2">
      <c r="A31" s="8" t="s">
        <v>248</v>
      </c>
      <c r="B31" s="8" t="s">
        <v>280</v>
      </c>
      <c r="C31" s="8" t="s">
        <v>276</v>
      </c>
      <c r="D31" s="8" t="s">
        <v>277</v>
      </c>
      <c r="E31" s="8" t="s">
        <v>278</v>
      </c>
      <c r="F31" s="8" t="s">
        <v>281</v>
      </c>
      <c r="G31" s="8" t="s">
        <v>282</v>
      </c>
      <c r="H31" s="8" t="s">
        <v>2</v>
      </c>
      <c r="J31" s="8"/>
      <c r="K31">
        <f>K30+1</f>
        <v>30</v>
      </c>
    </row>
    <row r="32" spans="1:12" ht="100" customHeight="1" x14ac:dyDescent="0.2">
      <c r="A32" s="8" t="s">
        <v>248</v>
      </c>
      <c r="B32" s="8" t="s">
        <v>283</v>
      </c>
      <c r="C32" s="8" t="s">
        <v>276</v>
      </c>
      <c r="D32" s="8" t="s">
        <v>277</v>
      </c>
      <c r="E32" s="8" t="s">
        <v>278</v>
      </c>
      <c r="F32" s="8" t="s">
        <v>279</v>
      </c>
      <c r="G32" s="8" t="s">
        <v>282</v>
      </c>
      <c r="H32" s="8" t="s">
        <v>4</v>
      </c>
      <c r="J32" s="8"/>
      <c r="K32">
        <f t="shared" ref="K32:K47" si="2">K31+1</f>
        <v>31</v>
      </c>
    </row>
    <row r="33" spans="1:11" ht="100" customHeight="1" x14ac:dyDescent="0.2">
      <c r="A33" s="8" t="s">
        <v>248</v>
      </c>
      <c r="B33" s="8" t="s">
        <v>284</v>
      </c>
      <c r="C33" s="8" t="s">
        <v>276</v>
      </c>
      <c r="D33" s="8" t="s">
        <v>277</v>
      </c>
      <c r="E33" s="8" t="s">
        <v>278</v>
      </c>
      <c r="F33" s="8" t="s">
        <v>279</v>
      </c>
      <c r="G33" s="8" t="s">
        <v>12</v>
      </c>
      <c r="H33" s="8" t="s">
        <v>285</v>
      </c>
      <c r="J33" s="8"/>
      <c r="K33">
        <f t="shared" si="2"/>
        <v>32</v>
      </c>
    </row>
    <row r="34" spans="1:11" ht="100" customHeight="1" x14ac:dyDescent="0.2">
      <c r="A34" s="8" t="s">
        <v>248</v>
      </c>
      <c r="B34" s="8" t="s">
        <v>286</v>
      </c>
      <c r="C34" s="8" t="s">
        <v>276</v>
      </c>
      <c r="D34" s="8" t="s">
        <v>277</v>
      </c>
      <c r="E34" s="8" t="s">
        <v>278</v>
      </c>
      <c r="F34" s="8" t="s">
        <v>279</v>
      </c>
      <c r="G34" s="8" t="s">
        <v>12</v>
      </c>
      <c r="H34" s="8" t="s">
        <v>3</v>
      </c>
      <c r="J34" s="8"/>
      <c r="K34">
        <f t="shared" si="2"/>
        <v>33</v>
      </c>
    </row>
    <row r="35" spans="1:11" ht="96.75" customHeight="1" x14ac:dyDescent="0.2">
      <c r="A35" s="8" t="s">
        <v>248</v>
      </c>
      <c r="B35" s="8" t="s">
        <v>287</v>
      </c>
      <c r="C35" s="8" t="s">
        <v>276</v>
      </c>
      <c r="D35" s="8" t="s">
        <v>277</v>
      </c>
      <c r="E35" s="8" t="s">
        <v>278</v>
      </c>
      <c r="F35" s="8" t="s">
        <v>279</v>
      </c>
      <c r="G35" s="8" t="s">
        <v>12</v>
      </c>
      <c r="H35" s="8" t="s">
        <v>4</v>
      </c>
      <c r="J35" s="8"/>
      <c r="K35">
        <f t="shared" si="2"/>
        <v>34</v>
      </c>
    </row>
    <row r="36" spans="1:11" ht="96.75" customHeight="1" x14ac:dyDescent="0.2">
      <c r="A36" s="8" t="s">
        <v>248</v>
      </c>
      <c r="B36" s="8" t="s">
        <v>288</v>
      </c>
      <c r="C36" s="8" t="s">
        <v>276</v>
      </c>
      <c r="D36" s="8" t="s">
        <v>277</v>
      </c>
      <c r="E36" s="8" t="s">
        <v>278</v>
      </c>
      <c r="F36" s="8" t="s">
        <v>279</v>
      </c>
      <c r="G36" s="8" t="s">
        <v>282</v>
      </c>
      <c r="H36" s="8" t="s">
        <v>4</v>
      </c>
      <c r="J36" s="8"/>
      <c r="K36">
        <f t="shared" si="2"/>
        <v>35</v>
      </c>
    </row>
    <row r="37" spans="1:11" ht="100" customHeight="1" x14ac:dyDescent="0.2">
      <c r="A37" s="8" t="s">
        <v>248</v>
      </c>
      <c r="B37" s="8" t="s">
        <v>289</v>
      </c>
      <c r="C37" s="8" t="s">
        <v>276</v>
      </c>
      <c r="D37" s="8" t="s">
        <v>277</v>
      </c>
      <c r="E37" s="8" t="s">
        <v>278</v>
      </c>
      <c r="F37" s="8" t="s">
        <v>279</v>
      </c>
      <c r="G37" s="8" t="s">
        <v>282</v>
      </c>
      <c r="H37" s="8" t="s">
        <v>5</v>
      </c>
      <c r="J37" s="8"/>
      <c r="K37">
        <f t="shared" si="2"/>
        <v>36</v>
      </c>
    </row>
    <row r="38" spans="1:11" ht="100" customHeight="1" x14ac:dyDescent="0.2">
      <c r="A38" s="8" t="s">
        <v>248</v>
      </c>
      <c r="B38" s="8" t="s">
        <v>290</v>
      </c>
      <c r="C38" s="8" t="s">
        <v>276</v>
      </c>
      <c r="D38" s="8" t="s">
        <v>277</v>
      </c>
      <c r="E38" s="8" t="s">
        <v>278</v>
      </c>
      <c r="F38" s="8" t="s">
        <v>279</v>
      </c>
      <c r="G38" s="8" t="s">
        <v>282</v>
      </c>
      <c r="H38" s="8" t="s">
        <v>4</v>
      </c>
      <c r="J38" s="8"/>
      <c r="K38">
        <f t="shared" si="2"/>
        <v>37</v>
      </c>
    </row>
    <row r="39" spans="1:11" ht="100" customHeight="1" x14ac:dyDescent="0.2">
      <c r="A39" s="8" t="s">
        <v>248</v>
      </c>
      <c r="B39" s="8" t="s">
        <v>291</v>
      </c>
      <c r="C39" s="8" t="s">
        <v>276</v>
      </c>
      <c r="D39" s="8" t="s">
        <v>277</v>
      </c>
      <c r="E39" s="8" t="s">
        <v>278</v>
      </c>
      <c r="F39" s="8" t="s">
        <v>279</v>
      </c>
      <c r="G39" s="8" t="s">
        <v>282</v>
      </c>
      <c r="H39" s="8" t="s">
        <v>285</v>
      </c>
      <c r="J39" s="8"/>
      <c r="K39">
        <f t="shared" si="2"/>
        <v>38</v>
      </c>
    </row>
    <row r="40" spans="1:11" ht="100" customHeight="1" x14ac:dyDescent="0.2">
      <c r="A40" s="8" t="s">
        <v>248</v>
      </c>
      <c r="B40" s="8" t="s">
        <v>292</v>
      </c>
      <c r="C40" s="8" t="s">
        <v>276</v>
      </c>
      <c r="D40" s="8" t="s">
        <v>277</v>
      </c>
      <c r="E40" s="8" t="s">
        <v>278</v>
      </c>
      <c r="F40" s="8" t="s">
        <v>279</v>
      </c>
      <c r="G40" s="8" t="s">
        <v>282</v>
      </c>
      <c r="H40" s="8" t="s">
        <v>5</v>
      </c>
      <c r="J40" s="8"/>
      <c r="K40">
        <f t="shared" si="2"/>
        <v>39</v>
      </c>
    </row>
    <row r="41" spans="1:11" ht="100" customHeight="1" x14ac:dyDescent="0.2">
      <c r="A41" s="8" t="s">
        <v>248</v>
      </c>
      <c r="B41" s="8" t="s">
        <v>293</v>
      </c>
      <c r="C41" s="8" t="s">
        <v>276</v>
      </c>
      <c r="D41" s="8" t="s">
        <v>277</v>
      </c>
      <c r="E41" s="8" t="s">
        <v>278</v>
      </c>
      <c r="F41" s="8" t="s">
        <v>279</v>
      </c>
      <c r="G41" s="8" t="s">
        <v>12</v>
      </c>
      <c r="H41" s="8" t="s">
        <v>5</v>
      </c>
      <c r="J41" s="8"/>
      <c r="K41">
        <f t="shared" si="2"/>
        <v>40</v>
      </c>
    </row>
    <row r="42" spans="1:11" ht="100" customHeight="1" x14ac:dyDescent="0.2">
      <c r="A42" s="8" t="s">
        <v>248</v>
      </c>
      <c r="B42" s="8" t="s">
        <v>294</v>
      </c>
      <c r="C42" s="8" t="s">
        <v>295</v>
      </c>
      <c r="D42" s="8" t="s">
        <v>296</v>
      </c>
      <c r="E42" s="8" t="s">
        <v>297</v>
      </c>
      <c r="F42" s="8" t="s">
        <v>298</v>
      </c>
      <c r="G42" s="8" t="s">
        <v>14</v>
      </c>
      <c r="H42" s="8" t="s">
        <v>3</v>
      </c>
      <c r="J42" s="8"/>
      <c r="K42">
        <f t="shared" si="2"/>
        <v>41</v>
      </c>
    </row>
    <row r="43" spans="1:11" ht="100" customHeight="1" x14ac:dyDescent="0.2">
      <c r="A43" s="8" t="s">
        <v>248</v>
      </c>
      <c r="B43" s="8" t="s">
        <v>299</v>
      </c>
      <c r="C43" s="8" t="s">
        <v>300</v>
      </c>
      <c r="D43" s="8" t="s">
        <v>301</v>
      </c>
      <c r="E43" s="8" t="s">
        <v>302</v>
      </c>
      <c r="F43" s="8" t="s">
        <v>303</v>
      </c>
      <c r="G43" s="8" t="s">
        <v>14</v>
      </c>
      <c r="H43" s="8" t="s">
        <v>3</v>
      </c>
      <c r="J43" s="8"/>
      <c r="K43">
        <f t="shared" si="2"/>
        <v>42</v>
      </c>
    </row>
    <row r="44" spans="1:11" ht="100" customHeight="1" x14ac:dyDescent="0.2">
      <c r="A44" s="8" t="s">
        <v>248</v>
      </c>
      <c r="B44" s="8" t="s">
        <v>304</v>
      </c>
      <c r="C44" s="8" t="s">
        <v>305</v>
      </c>
      <c r="D44" s="8" t="s">
        <v>306</v>
      </c>
      <c r="E44" s="8" t="s">
        <v>307</v>
      </c>
      <c r="F44" s="8" t="s">
        <v>308</v>
      </c>
      <c r="G44" s="8" t="s">
        <v>12</v>
      </c>
      <c r="H44" s="8" t="s">
        <v>309</v>
      </c>
      <c r="J44" s="8"/>
      <c r="K44">
        <f t="shared" si="2"/>
        <v>43</v>
      </c>
    </row>
    <row r="45" spans="1:11" ht="100" customHeight="1" x14ac:dyDescent="0.2">
      <c r="A45" s="8" t="s">
        <v>248</v>
      </c>
      <c r="B45" s="8" t="s">
        <v>310</v>
      </c>
      <c r="C45" s="8" t="s">
        <v>311</v>
      </c>
      <c r="D45" s="8" t="s">
        <v>312</v>
      </c>
      <c r="E45" s="8" t="s">
        <v>313</v>
      </c>
      <c r="F45" s="8" t="s">
        <v>314</v>
      </c>
      <c r="G45" s="8" t="s">
        <v>12</v>
      </c>
      <c r="H45" s="8" t="s">
        <v>2</v>
      </c>
      <c r="J45" s="8"/>
      <c r="K45">
        <f t="shared" si="2"/>
        <v>44</v>
      </c>
    </row>
    <row r="46" spans="1:11" ht="100" customHeight="1" x14ac:dyDescent="0.2">
      <c r="A46" s="8" t="s">
        <v>248</v>
      </c>
      <c r="B46" s="8" t="s">
        <v>310</v>
      </c>
      <c r="C46" s="8" t="s">
        <v>315</v>
      </c>
      <c r="D46" s="8" t="s">
        <v>316</v>
      </c>
      <c r="E46" s="8" t="s">
        <v>317</v>
      </c>
      <c r="F46" s="8" t="s">
        <v>318</v>
      </c>
      <c r="G46" s="8" t="s">
        <v>12</v>
      </c>
      <c r="H46" s="8" t="s">
        <v>2</v>
      </c>
      <c r="J46" s="8"/>
      <c r="K46">
        <f t="shared" si="2"/>
        <v>45</v>
      </c>
    </row>
    <row r="47" spans="1:11" ht="100" customHeight="1" x14ac:dyDescent="0.2">
      <c r="A47" s="8" t="s">
        <v>248</v>
      </c>
      <c r="B47" s="8" t="s">
        <v>319</v>
      </c>
      <c r="C47" s="8" t="s">
        <v>320</v>
      </c>
      <c r="D47" s="8" t="s">
        <v>321</v>
      </c>
      <c r="E47" s="8" t="s">
        <v>322</v>
      </c>
      <c r="F47" s="8" t="s">
        <v>323</v>
      </c>
      <c r="G47" s="8" t="s">
        <v>14</v>
      </c>
      <c r="H47" s="8" t="s">
        <v>4</v>
      </c>
      <c r="J47" s="8"/>
      <c r="K47">
        <f t="shared" si="2"/>
        <v>46</v>
      </c>
    </row>
    <row r="48" spans="1:11" ht="32" x14ac:dyDescent="0.2">
      <c r="A48" s="8" t="s">
        <v>248</v>
      </c>
      <c r="B48" s="8" t="s">
        <v>324</v>
      </c>
      <c r="C48" s="8" t="s">
        <v>276</v>
      </c>
      <c r="D48" s="8" t="s">
        <v>277</v>
      </c>
      <c r="E48" s="8" t="s">
        <v>325</v>
      </c>
      <c r="F48" s="8" t="s">
        <v>281</v>
      </c>
      <c r="G48" s="8" t="s">
        <v>12</v>
      </c>
      <c r="H48" s="8" t="s">
        <v>2</v>
      </c>
      <c r="K48">
        <f>K47+1</f>
        <v>47</v>
      </c>
    </row>
    <row r="49" spans="1:11" ht="32" x14ac:dyDescent="0.2">
      <c r="A49" s="8" t="s">
        <v>248</v>
      </c>
      <c r="B49" s="8" t="s">
        <v>326</v>
      </c>
      <c r="C49" s="8" t="s">
        <v>327</v>
      </c>
      <c r="D49" s="8" t="s">
        <v>328</v>
      </c>
      <c r="E49" s="8" t="s">
        <v>329</v>
      </c>
      <c r="F49" s="8" t="s">
        <v>330</v>
      </c>
      <c r="G49" s="8" t="s">
        <v>12</v>
      </c>
      <c r="H49" s="8" t="s">
        <v>5</v>
      </c>
      <c r="K49">
        <f>K48+1</f>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
  <sheetViews>
    <sheetView workbookViewId="0"/>
  </sheetViews>
  <sheetFormatPr baseColWidth="10" defaultColWidth="8.83203125" defaultRowHeight="15" x14ac:dyDescent="0.2"/>
  <cols>
    <col min="1" max="1" width="10" customWidth="1"/>
    <col min="2" max="2" width="55" customWidth="1"/>
    <col min="3" max="3" width="140" customWidth="1"/>
    <col min="4" max="4" width="28" customWidth="1"/>
  </cols>
  <sheetData>
    <row r="1" spans="1:4" ht="16" x14ac:dyDescent="0.2">
      <c r="A1" s="1" t="s">
        <v>126</v>
      </c>
      <c r="B1" s="2" t="s">
        <v>127</v>
      </c>
      <c r="C1" s="2" t="s">
        <v>128</v>
      </c>
      <c r="D1" s="2" t="s">
        <v>129</v>
      </c>
    </row>
    <row r="2" spans="1:4" ht="60" customHeight="1" x14ac:dyDescent="0.2">
      <c r="A2" s="3">
        <v>1</v>
      </c>
      <c r="B2" s="4" t="s">
        <v>130</v>
      </c>
      <c r="C2" s="4" t="s">
        <v>131</v>
      </c>
      <c r="D2" s="4" t="s">
        <v>132</v>
      </c>
    </row>
    <row r="3" spans="1:4" ht="60" customHeight="1" x14ac:dyDescent="0.2">
      <c r="A3" s="3">
        <v>2</v>
      </c>
      <c r="B3" s="4" t="s">
        <v>133</v>
      </c>
      <c r="C3" s="4" t="s">
        <v>134</v>
      </c>
      <c r="D3" s="4" t="s">
        <v>132</v>
      </c>
    </row>
    <row r="4" spans="1:4" ht="60" customHeight="1" x14ac:dyDescent="0.2">
      <c r="A4" s="3">
        <v>3</v>
      </c>
      <c r="B4" s="4" t="s">
        <v>135</v>
      </c>
      <c r="C4" s="4" t="s">
        <v>136</v>
      </c>
      <c r="D4" s="4" t="s">
        <v>132</v>
      </c>
    </row>
    <row r="5" spans="1:4" ht="60" customHeight="1" x14ac:dyDescent="0.2">
      <c r="A5" s="3">
        <v>4</v>
      </c>
      <c r="B5" s="4" t="s">
        <v>137</v>
      </c>
      <c r="C5" s="4" t="s">
        <v>138</v>
      </c>
      <c r="D5" s="4" t="s">
        <v>132</v>
      </c>
    </row>
    <row r="6" spans="1:4" ht="60" customHeight="1" x14ac:dyDescent="0.2">
      <c r="A6" s="3">
        <v>5</v>
      </c>
      <c r="B6" s="4" t="s">
        <v>139</v>
      </c>
      <c r="C6" s="4" t="s">
        <v>140</v>
      </c>
      <c r="D6" s="4" t="s">
        <v>141</v>
      </c>
    </row>
    <row r="7" spans="1:4" ht="60" customHeight="1" x14ac:dyDescent="0.2">
      <c r="A7" s="3">
        <v>6</v>
      </c>
      <c r="B7" s="4" t="s">
        <v>142</v>
      </c>
      <c r="C7" s="4" t="s">
        <v>143</v>
      </c>
      <c r="D7" s="4" t="s">
        <v>141</v>
      </c>
    </row>
    <row r="8" spans="1:4" ht="60" customHeight="1" x14ac:dyDescent="0.2">
      <c r="A8" s="3">
        <v>7</v>
      </c>
      <c r="B8" s="4" t="s">
        <v>144</v>
      </c>
      <c r="C8" s="4" t="s">
        <v>145</v>
      </c>
      <c r="D8" s="4" t="s">
        <v>146</v>
      </c>
    </row>
    <row r="9" spans="1:4" ht="60" customHeight="1" x14ac:dyDescent="0.2">
      <c r="A9" s="3">
        <v>8</v>
      </c>
      <c r="B9" s="4" t="s">
        <v>147</v>
      </c>
      <c r="C9" s="4" t="s">
        <v>148</v>
      </c>
      <c r="D9" s="4" t="s">
        <v>141</v>
      </c>
    </row>
    <row r="10" spans="1:4" ht="60" customHeight="1" x14ac:dyDescent="0.2">
      <c r="A10" s="3">
        <v>9</v>
      </c>
      <c r="B10" s="4" t="s">
        <v>139</v>
      </c>
      <c r="C10" s="4" t="s">
        <v>149</v>
      </c>
      <c r="D10" s="4" t="s">
        <v>141</v>
      </c>
    </row>
    <row r="11" spans="1:4" ht="60" customHeight="1" x14ac:dyDescent="0.2">
      <c r="A11" s="3">
        <v>10</v>
      </c>
      <c r="B11" s="4" t="s">
        <v>139</v>
      </c>
      <c r="C11" s="4" t="s">
        <v>150</v>
      </c>
      <c r="D11" s="4" t="s">
        <v>146</v>
      </c>
    </row>
    <row r="12" spans="1:4" ht="60" customHeight="1" x14ac:dyDescent="0.2">
      <c r="A12" s="3">
        <v>11</v>
      </c>
      <c r="B12" s="4" t="s">
        <v>151</v>
      </c>
      <c r="C12" s="4" t="s">
        <v>152</v>
      </c>
      <c r="D12" s="4" t="s">
        <v>141</v>
      </c>
    </row>
    <row r="13" spans="1:4" ht="60" customHeight="1" x14ac:dyDescent="0.2">
      <c r="A13" s="3">
        <v>12</v>
      </c>
      <c r="B13" s="4" t="s">
        <v>139</v>
      </c>
      <c r="C13" s="4" t="s">
        <v>153</v>
      </c>
      <c r="D13" s="4" t="s">
        <v>132</v>
      </c>
    </row>
    <row r="14" spans="1:4" ht="60" customHeight="1" x14ac:dyDescent="0.2">
      <c r="A14" s="3">
        <v>13</v>
      </c>
      <c r="B14" s="4" t="s">
        <v>154</v>
      </c>
      <c r="C14" s="4" t="s">
        <v>155</v>
      </c>
      <c r="D14" s="4" t="s">
        <v>132</v>
      </c>
    </row>
    <row r="15" spans="1:4" ht="60" customHeight="1" x14ac:dyDescent="0.2">
      <c r="A15" s="3">
        <v>14</v>
      </c>
      <c r="B15" s="4" t="s">
        <v>156</v>
      </c>
      <c r="C15" s="4" t="s">
        <v>157</v>
      </c>
      <c r="D15" s="4" t="s">
        <v>132</v>
      </c>
    </row>
    <row r="16" spans="1:4" ht="60" customHeight="1" x14ac:dyDescent="0.2">
      <c r="A16" s="3">
        <v>15</v>
      </c>
      <c r="B16" s="4" t="s">
        <v>158</v>
      </c>
      <c r="C16" s="4" t="s">
        <v>159</v>
      </c>
      <c r="D16" s="4" t="s">
        <v>132</v>
      </c>
    </row>
    <row r="17" spans="1:4" ht="60" customHeight="1" x14ac:dyDescent="0.2">
      <c r="A17" s="3">
        <v>16</v>
      </c>
      <c r="B17" s="4" t="s">
        <v>160</v>
      </c>
      <c r="C17" s="4" t="s">
        <v>161</v>
      </c>
      <c r="D17" s="4" t="s">
        <v>132</v>
      </c>
    </row>
    <row r="18" spans="1:4" ht="60" customHeight="1" x14ac:dyDescent="0.2">
      <c r="A18" s="3">
        <v>17</v>
      </c>
      <c r="B18" s="4" t="s">
        <v>162</v>
      </c>
      <c r="C18" s="4" t="s">
        <v>163</v>
      </c>
      <c r="D18" s="4" t="s">
        <v>132</v>
      </c>
    </row>
    <row r="19" spans="1:4" ht="60" customHeight="1" x14ac:dyDescent="0.2">
      <c r="A19" s="3">
        <v>18</v>
      </c>
      <c r="B19" s="4" t="s">
        <v>164</v>
      </c>
      <c r="C19" s="4" t="s">
        <v>165</v>
      </c>
      <c r="D19" s="4" t="s">
        <v>141</v>
      </c>
    </row>
    <row r="20" spans="1:4" ht="60" customHeight="1" x14ac:dyDescent="0.2">
      <c r="A20" s="3">
        <v>19</v>
      </c>
      <c r="B20" s="4" t="s">
        <v>166</v>
      </c>
      <c r="C20" s="4" t="s">
        <v>167</v>
      </c>
      <c r="D20" s="4" t="s">
        <v>132</v>
      </c>
    </row>
    <row r="21" spans="1:4" ht="60" customHeight="1" x14ac:dyDescent="0.2">
      <c r="A21" s="3">
        <v>20</v>
      </c>
      <c r="B21" s="4" t="s">
        <v>168</v>
      </c>
      <c r="C21" s="4" t="s">
        <v>169</v>
      </c>
      <c r="D21" s="4" t="s">
        <v>141</v>
      </c>
    </row>
    <row r="22" spans="1:4" ht="60" customHeight="1" x14ac:dyDescent="0.2">
      <c r="A22" s="3">
        <v>21</v>
      </c>
      <c r="B22" s="4" t="s">
        <v>170</v>
      </c>
      <c r="C22" s="4" t="s">
        <v>171</v>
      </c>
      <c r="D22" s="4" t="s">
        <v>141</v>
      </c>
    </row>
    <row r="23" spans="1:4" ht="60" customHeight="1" x14ac:dyDescent="0.2">
      <c r="A23" s="3">
        <v>22</v>
      </c>
      <c r="B23" s="4" t="s">
        <v>172</v>
      </c>
      <c r="C23" s="4" t="s">
        <v>173</v>
      </c>
      <c r="D23" s="4" t="s">
        <v>141</v>
      </c>
    </row>
    <row r="24" spans="1:4" ht="60" customHeight="1" x14ac:dyDescent="0.2">
      <c r="A24" s="3">
        <v>23</v>
      </c>
      <c r="B24" s="4" t="s">
        <v>174</v>
      </c>
      <c r="C24" s="4" t="s">
        <v>175</v>
      </c>
      <c r="D24" s="4" t="s">
        <v>141</v>
      </c>
    </row>
    <row r="25" spans="1:4" ht="60" customHeight="1" x14ac:dyDescent="0.2">
      <c r="A25" s="3">
        <v>24</v>
      </c>
      <c r="B25" s="4" t="s">
        <v>176</v>
      </c>
      <c r="C25" s="4" t="s">
        <v>177</v>
      </c>
      <c r="D25" s="4" t="s">
        <v>141</v>
      </c>
    </row>
    <row r="26" spans="1:4" ht="60" customHeight="1" x14ac:dyDescent="0.2">
      <c r="A26" s="3">
        <v>25</v>
      </c>
      <c r="B26" s="4" t="s">
        <v>139</v>
      </c>
      <c r="C26" s="4" t="s">
        <v>178</v>
      </c>
      <c r="D26" s="4" t="s">
        <v>141</v>
      </c>
    </row>
    <row r="27" spans="1:4" ht="60" customHeight="1" x14ac:dyDescent="0.2">
      <c r="A27" s="3">
        <v>26</v>
      </c>
      <c r="B27" s="4" t="s">
        <v>139</v>
      </c>
      <c r="C27" s="4" t="s">
        <v>179</v>
      </c>
      <c r="D27" s="4" t="s">
        <v>141</v>
      </c>
    </row>
    <row r="28" spans="1:4" ht="60" customHeight="1" x14ac:dyDescent="0.2">
      <c r="A28" s="3">
        <v>27</v>
      </c>
      <c r="B28" s="4" t="s">
        <v>180</v>
      </c>
      <c r="C28" s="4" t="s">
        <v>181</v>
      </c>
      <c r="D28" s="4" t="s">
        <v>141</v>
      </c>
    </row>
    <row r="29" spans="1:4" ht="60" customHeight="1" x14ac:dyDescent="0.2">
      <c r="A29" s="3">
        <v>28</v>
      </c>
      <c r="B29" s="4" t="s">
        <v>182</v>
      </c>
      <c r="C29" s="4" t="s">
        <v>183</v>
      </c>
      <c r="D29" s="4" t="s">
        <v>141</v>
      </c>
    </row>
    <row r="30" spans="1:4" ht="60" customHeight="1" x14ac:dyDescent="0.2">
      <c r="A30" s="3">
        <v>29</v>
      </c>
      <c r="B30" s="4" t="s">
        <v>182</v>
      </c>
      <c r="C30" s="4" t="s">
        <v>184</v>
      </c>
      <c r="D30" s="4" t="s">
        <v>141</v>
      </c>
    </row>
    <row r="31" spans="1:4" ht="60" customHeight="1" x14ac:dyDescent="0.2">
      <c r="A31" s="3">
        <v>30</v>
      </c>
      <c r="B31" s="4" t="s">
        <v>185</v>
      </c>
      <c r="C31" s="4" t="s">
        <v>186</v>
      </c>
      <c r="D31" s="4" t="s">
        <v>132</v>
      </c>
    </row>
    <row r="32" spans="1:4" ht="60" customHeight="1" x14ac:dyDescent="0.2">
      <c r="A32" s="3">
        <v>31</v>
      </c>
      <c r="B32" s="4" t="s">
        <v>187</v>
      </c>
      <c r="C32" s="4" t="s">
        <v>188</v>
      </c>
      <c r="D32" s="4" t="s">
        <v>132</v>
      </c>
    </row>
    <row r="33" spans="1:4" ht="60" customHeight="1" x14ac:dyDescent="0.2">
      <c r="A33" s="3">
        <v>32</v>
      </c>
      <c r="B33" s="4" t="s">
        <v>187</v>
      </c>
      <c r="C33" s="4" t="s">
        <v>189</v>
      </c>
      <c r="D33" s="4" t="s">
        <v>132</v>
      </c>
    </row>
    <row r="34" spans="1:4" ht="60" customHeight="1" x14ac:dyDescent="0.2">
      <c r="A34" s="3">
        <v>33</v>
      </c>
      <c r="B34" s="4" t="s">
        <v>190</v>
      </c>
      <c r="C34" s="4" t="s">
        <v>191</v>
      </c>
      <c r="D34" s="4" t="s">
        <v>132</v>
      </c>
    </row>
    <row r="35" spans="1:4" ht="60" customHeight="1" x14ac:dyDescent="0.2">
      <c r="A35" s="3">
        <v>34</v>
      </c>
      <c r="B35" s="4" t="s">
        <v>187</v>
      </c>
      <c r="C35" s="4" t="s">
        <v>192</v>
      </c>
      <c r="D35" s="4" t="s">
        <v>132</v>
      </c>
    </row>
    <row r="36" spans="1:4" ht="60" customHeight="1" x14ac:dyDescent="0.2">
      <c r="A36" s="3">
        <v>35</v>
      </c>
      <c r="B36" s="4" t="s">
        <v>193</v>
      </c>
      <c r="C36" s="4" t="s">
        <v>194</v>
      </c>
      <c r="D36" s="4" t="s">
        <v>132</v>
      </c>
    </row>
    <row r="37" spans="1:4" ht="60" customHeight="1" x14ac:dyDescent="0.2">
      <c r="A37" s="3">
        <v>36</v>
      </c>
      <c r="B37" s="4" t="s">
        <v>193</v>
      </c>
      <c r="C37" s="4" t="s">
        <v>195</v>
      </c>
      <c r="D37" s="4" t="s">
        <v>141</v>
      </c>
    </row>
    <row r="38" spans="1:4" ht="60" customHeight="1" x14ac:dyDescent="0.2">
      <c r="A38" s="3">
        <v>37</v>
      </c>
      <c r="B38" s="4" t="s">
        <v>196</v>
      </c>
      <c r="C38" s="4" t="s">
        <v>197</v>
      </c>
      <c r="D38" s="4" t="s">
        <v>132</v>
      </c>
    </row>
    <row r="39" spans="1:4" ht="60" customHeight="1" x14ac:dyDescent="0.2">
      <c r="A39" s="3">
        <v>38</v>
      </c>
      <c r="B39" s="4" t="s">
        <v>193</v>
      </c>
      <c r="C39" s="4" t="s">
        <v>198</v>
      </c>
      <c r="D39" s="4" t="s">
        <v>132</v>
      </c>
    </row>
    <row r="40" spans="1:4" ht="60" customHeight="1" x14ac:dyDescent="0.2">
      <c r="A40" s="3">
        <v>39</v>
      </c>
      <c r="B40" s="4" t="s">
        <v>199</v>
      </c>
      <c r="C40" s="4" t="s">
        <v>200</v>
      </c>
      <c r="D40" s="4" t="s">
        <v>132</v>
      </c>
    </row>
    <row r="41" spans="1:4" ht="60" customHeight="1" x14ac:dyDescent="0.2">
      <c r="A41" s="3">
        <v>40</v>
      </c>
      <c r="B41" s="4" t="s">
        <v>201</v>
      </c>
      <c r="C41" s="4" t="s">
        <v>202</v>
      </c>
      <c r="D41" s="4" t="s">
        <v>132</v>
      </c>
    </row>
    <row r="42" spans="1:4" ht="60" customHeight="1" x14ac:dyDescent="0.2">
      <c r="A42" s="3">
        <v>41</v>
      </c>
      <c r="B42" s="4" t="s">
        <v>199</v>
      </c>
      <c r="C42" s="4" t="s">
        <v>203</v>
      </c>
      <c r="D42" s="4" t="s">
        <v>132</v>
      </c>
    </row>
    <row r="43" spans="1:4" ht="60" customHeight="1" x14ac:dyDescent="0.2">
      <c r="A43" s="3">
        <v>42</v>
      </c>
      <c r="B43" s="4" t="s">
        <v>204</v>
      </c>
      <c r="C43" s="4" t="s">
        <v>205</v>
      </c>
      <c r="D43" s="4" t="s">
        <v>141</v>
      </c>
    </row>
    <row r="44" spans="1:4" ht="60" customHeight="1" x14ac:dyDescent="0.2">
      <c r="A44" s="3">
        <v>43</v>
      </c>
      <c r="B44" s="4" t="s">
        <v>206</v>
      </c>
      <c r="C44" s="4" t="s">
        <v>207</v>
      </c>
      <c r="D44" s="4" t="s">
        <v>132</v>
      </c>
    </row>
    <row r="45" spans="1:4" ht="60" customHeight="1" x14ac:dyDescent="0.2">
      <c r="A45" s="3">
        <v>44</v>
      </c>
      <c r="B45" s="4" t="s">
        <v>208</v>
      </c>
      <c r="C45" s="4" t="s">
        <v>209</v>
      </c>
      <c r="D45" s="4" t="s">
        <v>132</v>
      </c>
    </row>
    <row r="46" spans="1:4" ht="60" customHeight="1" x14ac:dyDescent="0.2">
      <c r="A46" s="3">
        <v>45</v>
      </c>
      <c r="B46" s="4" t="s">
        <v>208</v>
      </c>
      <c r="C46" s="4" t="s">
        <v>210</v>
      </c>
      <c r="D46" s="4" t="s">
        <v>132</v>
      </c>
    </row>
    <row r="47" spans="1:4" ht="60" customHeight="1" x14ac:dyDescent="0.2">
      <c r="A47" s="3">
        <v>46</v>
      </c>
      <c r="B47" s="4" t="s">
        <v>211</v>
      </c>
      <c r="C47" s="4" t="s">
        <v>212</v>
      </c>
      <c r="D47" s="4" t="s">
        <v>132</v>
      </c>
    </row>
    <row r="48" spans="1:4" ht="60" customHeight="1" x14ac:dyDescent="0.2">
      <c r="A48" s="3">
        <v>47</v>
      </c>
      <c r="B48" s="4" t="s">
        <v>213</v>
      </c>
      <c r="C48" s="4" t="s">
        <v>214</v>
      </c>
      <c r="D48" s="4" t="s">
        <v>141</v>
      </c>
    </row>
    <row r="49" spans="1:4" ht="60" customHeight="1" x14ac:dyDescent="0.2">
      <c r="A49" s="3">
        <v>48</v>
      </c>
      <c r="B49" s="4" t="s">
        <v>215</v>
      </c>
      <c r="C49" s="4" t="s">
        <v>216</v>
      </c>
      <c r="D49" s="4" t="s">
        <v>132</v>
      </c>
    </row>
    <row r="50" spans="1:4" ht="60" customHeight="1" x14ac:dyDescent="0.2">
      <c r="A50" s="3">
        <v>49</v>
      </c>
      <c r="B50" s="4" t="s">
        <v>217</v>
      </c>
      <c r="C50" s="4" t="s">
        <v>218</v>
      </c>
      <c r="D50" s="4" t="s">
        <v>132</v>
      </c>
    </row>
    <row r="51" spans="1:4" ht="60" customHeight="1" x14ac:dyDescent="0.2">
      <c r="A51" s="3">
        <v>50</v>
      </c>
      <c r="B51" s="4" t="s">
        <v>213</v>
      </c>
      <c r="C51" s="4" t="s">
        <v>219</v>
      </c>
      <c r="D51" s="4" t="s">
        <v>132</v>
      </c>
    </row>
    <row r="52" spans="1:4" ht="60" customHeight="1" x14ac:dyDescent="0.2">
      <c r="A52" s="3">
        <v>51</v>
      </c>
      <c r="B52" s="4" t="s">
        <v>220</v>
      </c>
      <c r="C52" s="4" t="s">
        <v>221</v>
      </c>
      <c r="D52" s="4" t="s">
        <v>132</v>
      </c>
    </row>
    <row r="53" spans="1:4" ht="60" customHeight="1" x14ac:dyDescent="0.2">
      <c r="A53" s="3">
        <v>52</v>
      </c>
      <c r="B53" s="4" t="s">
        <v>222</v>
      </c>
      <c r="C53" s="4" t="s">
        <v>223</v>
      </c>
      <c r="D53" s="4" t="s">
        <v>141</v>
      </c>
    </row>
    <row r="54" spans="1:4" ht="60" customHeight="1" x14ac:dyDescent="0.2">
      <c r="A54" s="3">
        <v>53</v>
      </c>
      <c r="B54" s="4" t="s">
        <v>224</v>
      </c>
      <c r="C54" s="4" t="s">
        <v>225</v>
      </c>
      <c r="D54" s="4" t="s">
        <v>132</v>
      </c>
    </row>
    <row r="55" spans="1:4" ht="60" customHeight="1" x14ac:dyDescent="0.2">
      <c r="A55" s="3">
        <v>54</v>
      </c>
      <c r="B55" s="4" t="s">
        <v>226</v>
      </c>
      <c r="C55" s="4" t="s">
        <v>227</v>
      </c>
      <c r="D55" s="4" t="s">
        <v>132</v>
      </c>
    </row>
    <row r="56" spans="1:4" ht="60" customHeight="1" x14ac:dyDescent="0.2">
      <c r="A56" s="3">
        <v>55</v>
      </c>
      <c r="B56" s="4" t="s">
        <v>226</v>
      </c>
      <c r="C56" s="4" t="s">
        <v>228</v>
      </c>
      <c r="D56" s="4" t="s">
        <v>132</v>
      </c>
    </row>
    <row r="57" spans="1:4" ht="60" customHeight="1" x14ac:dyDescent="0.2">
      <c r="A57" s="3">
        <v>56</v>
      </c>
      <c r="B57" s="4" t="s">
        <v>226</v>
      </c>
      <c r="C57" s="4" t="s">
        <v>229</v>
      </c>
      <c r="D57" s="4" t="s">
        <v>132</v>
      </c>
    </row>
    <row r="58" spans="1:4" ht="60" customHeight="1" x14ac:dyDescent="0.2">
      <c r="A58" s="3">
        <v>57</v>
      </c>
      <c r="B58" s="4" t="s">
        <v>226</v>
      </c>
      <c r="C58" s="4" t="s">
        <v>230</v>
      </c>
      <c r="D58" s="4" t="s">
        <v>132</v>
      </c>
    </row>
    <row r="59" spans="1:4" ht="60" customHeight="1" x14ac:dyDescent="0.2">
      <c r="A59" s="3">
        <v>58</v>
      </c>
      <c r="B59" s="4" t="s">
        <v>226</v>
      </c>
      <c r="C59" s="4" t="s">
        <v>231</v>
      </c>
      <c r="D59" s="4" t="s">
        <v>132</v>
      </c>
    </row>
    <row r="60" spans="1:4" ht="60" customHeight="1" x14ac:dyDescent="0.2">
      <c r="A60" s="3">
        <v>59</v>
      </c>
      <c r="B60" s="4" t="s">
        <v>139</v>
      </c>
      <c r="C60" s="4" t="s">
        <v>232</v>
      </c>
      <c r="D60" s="4" t="s">
        <v>132</v>
      </c>
    </row>
    <row r="61" spans="1:4" ht="60" customHeight="1" x14ac:dyDescent="0.2">
      <c r="A61" s="3">
        <v>60</v>
      </c>
      <c r="B61" s="4" t="s">
        <v>233</v>
      </c>
      <c r="C61" s="4" t="s">
        <v>234</v>
      </c>
      <c r="D61" s="4" t="s">
        <v>132</v>
      </c>
    </row>
    <row r="62" spans="1:4" ht="60" customHeight="1" x14ac:dyDescent="0.2">
      <c r="A62" s="3">
        <v>61</v>
      </c>
      <c r="B62" s="4" t="s">
        <v>235</v>
      </c>
      <c r="C62" s="4" t="s">
        <v>236</v>
      </c>
      <c r="D62" s="4" t="s">
        <v>132</v>
      </c>
    </row>
    <row r="63" spans="1:4" ht="60" customHeight="1" x14ac:dyDescent="0.2">
      <c r="A63" s="3">
        <v>62</v>
      </c>
      <c r="B63" s="4" t="s">
        <v>237</v>
      </c>
      <c r="C63" s="4" t="s">
        <v>238</v>
      </c>
      <c r="D63" s="4" t="s">
        <v>141</v>
      </c>
    </row>
    <row r="64" spans="1:4" ht="60" customHeight="1" x14ac:dyDescent="0.2">
      <c r="A64" s="3">
        <v>63</v>
      </c>
      <c r="B64" s="4" t="s">
        <v>237</v>
      </c>
      <c r="C64" s="4" t="s">
        <v>239</v>
      </c>
      <c r="D64" s="4" t="s">
        <v>132</v>
      </c>
    </row>
    <row r="65" spans="1:4" ht="60" customHeight="1" x14ac:dyDescent="0.2">
      <c r="A65" s="3">
        <v>64</v>
      </c>
      <c r="B65" s="4" t="s">
        <v>240</v>
      </c>
      <c r="C65" s="4" t="s">
        <v>241</v>
      </c>
      <c r="D65" s="4" t="s">
        <v>132</v>
      </c>
    </row>
    <row r="66" spans="1:4" ht="60" customHeight="1" x14ac:dyDescent="0.2">
      <c r="A66" s="3">
        <v>65</v>
      </c>
      <c r="B66" s="4" t="s">
        <v>240</v>
      </c>
      <c r="C66" s="4" t="s">
        <v>242</v>
      </c>
      <c r="D66" s="4" t="s">
        <v>132</v>
      </c>
    </row>
    <row r="67" spans="1:4" ht="60" customHeight="1" x14ac:dyDescent="0.2">
      <c r="A67" s="3">
        <v>66</v>
      </c>
      <c r="B67" s="4" t="s">
        <v>240</v>
      </c>
      <c r="C67" s="4" t="s">
        <v>243</v>
      </c>
      <c r="D67" s="4" t="s">
        <v>132</v>
      </c>
    </row>
    <row r="68" spans="1:4" ht="60" customHeight="1" x14ac:dyDescent="0.2">
      <c r="A68" s="3">
        <v>67</v>
      </c>
      <c r="B68" s="4" t="s">
        <v>244</v>
      </c>
      <c r="C68" s="4" t="s">
        <v>245</v>
      </c>
      <c r="D68" s="4" t="s">
        <v>132</v>
      </c>
    </row>
    <row r="69" spans="1:4" ht="60" customHeight="1" x14ac:dyDescent="0.2">
      <c r="A69" s="3">
        <v>68</v>
      </c>
      <c r="B69" s="4" t="s">
        <v>246</v>
      </c>
      <c r="C69" s="4"/>
      <c r="D69" s="4"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Slide Notes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Ellis</cp:lastModifiedBy>
  <dcterms:created xsi:type="dcterms:W3CDTF">2026-03-29T18:46:56Z</dcterms:created>
  <dcterms:modified xsi:type="dcterms:W3CDTF">2026-04-08T22:41:02Z</dcterms:modified>
</cp:coreProperties>
</file>